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B585D485-CBAA-429C-BBA1-A3FF20A1A7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S" sheetId="35" r:id="rId1"/>
    <sheet name="TAPL" sheetId="36" r:id="rId2"/>
    <sheet name="TABS Mapping" sheetId="26" r:id="rId3"/>
    <sheet name="TAPL Mapping" sheetId="27" r:id="rId4"/>
  </sheets>
  <externalReferences>
    <externalReference r:id="rId5"/>
    <externalReference r:id="rId6"/>
  </externalReferences>
  <definedNames>
    <definedName name="_xlnm._FilterDatabase" localSheetId="0" hidden="1">TABS!$C$2:$H$136</definedName>
    <definedName name="_xlnm._FilterDatabase" localSheetId="2" hidden="1">'TABS Mapping'!$A$2:$CK$2</definedName>
    <definedName name="_xlnm._FilterDatabase" localSheetId="1" hidden="1">TAPL!$C$2:$G$113</definedName>
    <definedName name="_xlnm._FilterDatabase" localSheetId="3" hidden="1">'TAPL Mapping'!$A$2:$AI$2</definedName>
    <definedName name="a">#REF!</definedName>
    <definedName name="Attendance" comment="Please Select 'N/A' if not applicable, 'No' if a designated attendee was not in attendance and 'Yes' if the attendee was in attendance">#REF!</definedName>
    <definedName name="BSDStatus">#REF!</definedName>
    <definedName name="Effort">#REF!</definedName>
    <definedName name="fhgcnhfv">'[1]Drop Down Fields'!$D$16:$D$19</definedName>
    <definedName name="FollowUPCategory">#REF!</definedName>
    <definedName name="FollowUpStatus">#REF!</definedName>
    <definedName name="FSDStatus">#REF!</definedName>
    <definedName name="GapPriority">#REF!</definedName>
    <definedName name="GapStatus">#REF!</definedName>
    <definedName name="Level">#REF!</definedName>
    <definedName name="MoSCoW">#REF!</definedName>
    <definedName name="NewGapStatus">#REF!</definedName>
    <definedName name="NewGapType">#REF!</definedName>
    <definedName name="Owner">#REF!</definedName>
    <definedName name="Priority">#REF!</definedName>
    <definedName name="ProcessStatus">#REF!</definedName>
    <definedName name="RAG">#REF!</definedName>
    <definedName name="ScopingGapStatus">#REF!</definedName>
    <definedName name="ScopingGapType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5" l="1"/>
  <c r="D6" i="35"/>
  <c r="D134" i="35"/>
  <c r="D129" i="35"/>
  <c r="D128" i="35"/>
  <c r="D127" i="35"/>
  <c r="D126" i="35"/>
  <c r="D125" i="35"/>
  <c r="D124" i="35"/>
  <c r="D123" i="35"/>
  <c r="D122" i="35"/>
  <c r="D121" i="35"/>
  <c r="D120" i="35"/>
  <c r="D117" i="35"/>
  <c r="D114" i="35"/>
  <c r="D113" i="35"/>
  <c r="D110" i="35"/>
  <c r="D109" i="35"/>
  <c r="D108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5" i="35"/>
  <c r="D84" i="35"/>
  <c r="D83" i="35"/>
  <c r="D72" i="35"/>
  <c r="D71" i="35"/>
  <c r="D70" i="35"/>
  <c r="D69" i="35"/>
  <c r="D68" i="35"/>
  <c r="D65" i="35"/>
  <c r="D62" i="35"/>
  <c r="D61" i="35"/>
  <c r="D60" i="35"/>
  <c r="D59" i="35"/>
  <c r="D56" i="35"/>
  <c r="D55" i="35"/>
  <c r="D54" i="35"/>
  <c r="D53" i="35"/>
  <c r="D50" i="35"/>
  <c r="D49" i="35"/>
  <c r="D48" i="35"/>
  <c r="D43" i="35"/>
  <c r="D42" i="35"/>
  <c r="D41" i="35"/>
  <c r="D37" i="35"/>
  <c r="D36" i="35"/>
  <c r="D35" i="35"/>
  <c r="D34" i="35"/>
  <c r="D33" i="35"/>
  <c r="D32" i="35"/>
  <c r="D31" i="35"/>
  <c r="D28" i="35"/>
  <c r="D27" i="35"/>
  <c r="D26" i="35"/>
  <c r="D25" i="35"/>
  <c r="D24" i="35"/>
  <c r="D23" i="35"/>
  <c r="D22" i="35"/>
  <c r="D14" i="35"/>
  <c r="D15" i="35"/>
  <c r="D16" i="35"/>
  <c r="D17" i="35"/>
  <c r="D18" i="35"/>
  <c r="D19" i="35"/>
  <c r="D13" i="35"/>
  <c r="B24" i="36" l="1"/>
  <c r="B23" i="36"/>
  <c r="B22" i="36"/>
  <c r="B19" i="36"/>
  <c r="B18" i="36"/>
  <c r="B17" i="36"/>
  <c r="L43" i="27"/>
  <c r="L38" i="27"/>
  <c r="G40" i="27"/>
  <c r="G41" i="27" s="1"/>
  <c r="G42" i="27" s="1"/>
  <c r="E40" i="27"/>
  <c r="J40" i="27" s="1"/>
  <c r="E39" i="27"/>
  <c r="J39" i="27" s="1"/>
  <c r="J43" i="27"/>
  <c r="L40" i="27"/>
  <c r="L39" i="27"/>
  <c r="J38" i="27"/>
  <c r="E129" i="26"/>
  <c r="J129" i="26"/>
  <c r="K129" i="26"/>
  <c r="L129" i="26"/>
  <c r="AM129" i="26" s="1"/>
  <c r="E72" i="26"/>
  <c r="J72" i="26" s="1"/>
  <c r="K72" i="26"/>
  <c r="L72" i="26"/>
  <c r="AH43" i="27" l="1"/>
  <c r="AH38" i="27"/>
  <c r="E42" i="27"/>
  <c r="J42" i="27" s="1"/>
  <c r="L42" i="27"/>
  <c r="E41" i="27"/>
  <c r="J41" i="27" s="1"/>
  <c r="L41" i="27"/>
  <c r="AH40" i="27"/>
  <c r="AH39" i="27"/>
  <c r="AM72" i="26"/>
  <c r="AH42" i="27" l="1"/>
  <c r="AH41" i="27"/>
  <c r="E71" i="26" l="1"/>
  <c r="J71" i="26" s="1"/>
  <c r="L71" i="26"/>
  <c r="K71" i="26"/>
  <c r="E37" i="26"/>
  <c r="K37" i="26"/>
  <c r="E28" i="26"/>
  <c r="J28" i="26" s="1"/>
  <c r="K28" i="26"/>
  <c r="L28" i="26"/>
  <c r="E19" i="26"/>
  <c r="J19" i="26" s="1"/>
  <c r="K19" i="26"/>
  <c r="L19" i="26"/>
  <c r="G70" i="26"/>
  <c r="L70" i="26" s="1"/>
  <c r="J70" i="26"/>
  <c r="K70" i="26"/>
  <c r="AM70" i="26" l="1"/>
  <c r="AM71" i="26"/>
  <c r="AM28" i="26"/>
  <c r="AM19" i="26"/>
  <c r="J53" i="27"/>
  <c r="L53" i="27"/>
  <c r="AH53" i="27" s="1"/>
  <c r="L128" i="26"/>
  <c r="J128" i="26"/>
  <c r="K128" i="26"/>
  <c r="G69" i="26"/>
  <c r="L69" i="26" s="1"/>
  <c r="J69" i="26"/>
  <c r="K69" i="26"/>
  <c r="G127" i="26"/>
  <c r="L127" i="26" s="1"/>
  <c r="J127" i="26"/>
  <c r="K127" i="26"/>
  <c r="AM127" i="26" l="1"/>
  <c r="AM128" i="26"/>
  <c r="AM69" i="26"/>
  <c r="AM2" i="26"/>
  <c r="K136" i="26"/>
  <c r="J136" i="26"/>
  <c r="K135" i="26"/>
  <c r="J135" i="26"/>
  <c r="K134" i="26"/>
  <c r="J134" i="26"/>
  <c r="K133" i="26"/>
  <c r="J133" i="26"/>
  <c r="K132" i="26"/>
  <c r="J132" i="26"/>
  <c r="K131" i="26"/>
  <c r="J131" i="26"/>
  <c r="K130" i="26"/>
  <c r="J130" i="26"/>
  <c r="K126" i="26"/>
  <c r="J126" i="26"/>
  <c r="K125" i="26"/>
  <c r="J125" i="26"/>
  <c r="K124" i="26"/>
  <c r="J124" i="26"/>
  <c r="K123" i="26"/>
  <c r="J123" i="26"/>
  <c r="K122" i="26"/>
  <c r="J122" i="26"/>
  <c r="K121" i="26"/>
  <c r="J121" i="26"/>
  <c r="K120" i="26"/>
  <c r="J120" i="26"/>
  <c r="K119" i="26"/>
  <c r="J119" i="26"/>
  <c r="K118" i="26"/>
  <c r="J118" i="26"/>
  <c r="K117" i="26"/>
  <c r="J117" i="26"/>
  <c r="K116" i="26"/>
  <c r="J116" i="26"/>
  <c r="K115" i="26"/>
  <c r="J115" i="26"/>
  <c r="K114" i="26"/>
  <c r="J114" i="26"/>
  <c r="K113" i="26"/>
  <c r="J113" i="26"/>
  <c r="K112" i="26"/>
  <c r="J112" i="26"/>
  <c r="K111" i="26"/>
  <c r="J111" i="26"/>
  <c r="K110" i="26"/>
  <c r="J110" i="26"/>
  <c r="K109" i="26"/>
  <c r="J109" i="26"/>
  <c r="K108" i="26"/>
  <c r="J108" i="26"/>
  <c r="K107" i="26"/>
  <c r="J107" i="26"/>
  <c r="K106" i="26"/>
  <c r="J106" i="26"/>
  <c r="K105" i="26"/>
  <c r="J105" i="26"/>
  <c r="K104" i="26"/>
  <c r="J104" i="26"/>
  <c r="K103" i="26"/>
  <c r="J103" i="26"/>
  <c r="K102" i="26"/>
  <c r="J102" i="26"/>
  <c r="K101" i="26"/>
  <c r="J101" i="26"/>
  <c r="K100" i="26"/>
  <c r="J100" i="26"/>
  <c r="K99" i="26"/>
  <c r="J99" i="26"/>
  <c r="K98" i="26"/>
  <c r="J98" i="26"/>
  <c r="K97" i="26"/>
  <c r="J97" i="26"/>
  <c r="K96" i="26"/>
  <c r="J96" i="26"/>
  <c r="K95" i="26"/>
  <c r="J95" i="26"/>
  <c r="K94" i="26"/>
  <c r="J94" i="26"/>
  <c r="K93" i="26"/>
  <c r="J93" i="26"/>
  <c r="K92" i="26"/>
  <c r="J92" i="26"/>
  <c r="K91" i="26"/>
  <c r="J91" i="26"/>
  <c r="K90" i="26"/>
  <c r="J90" i="26"/>
  <c r="K89" i="26"/>
  <c r="J89" i="26"/>
  <c r="K88" i="26"/>
  <c r="J88" i="26"/>
  <c r="K87" i="26"/>
  <c r="J87" i="26"/>
  <c r="K86" i="26"/>
  <c r="J86" i="26"/>
  <c r="K85" i="26"/>
  <c r="J85" i="26"/>
  <c r="K84" i="26"/>
  <c r="J84" i="26"/>
  <c r="K83" i="26"/>
  <c r="J83" i="26"/>
  <c r="K82" i="26"/>
  <c r="J82" i="26"/>
  <c r="K81" i="26"/>
  <c r="J81" i="26"/>
  <c r="K80" i="26"/>
  <c r="J80" i="26"/>
  <c r="K79" i="26"/>
  <c r="J79" i="26"/>
  <c r="K78" i="26"/>
  <c r="J78" i="26"/>
  <c r="K77" i="26"/>
  <c r="J77" i="26"/>
  <c r="K76" i="26"/>
  <c r="J76" i="26"/>
  <c r="K75" i="26"/>
  <c r="J75" i="26"/>
  <c r="K74" i="26"/>
  <c r="J74" i="26"/>
  <c r="K73" i="26"/>
  <c r="J73" i="26"/>
  <c r="K68" i="26"/>
  <c r="J68" i="26"/>
  <c r="K67" i="26"/>
  <c r="J67" i="26"/>
  <c r="K66" i="26"/>
  <c r="J66" i="26"/>
  <c r="K65" i="26"/>
  <c r="J65" i="26"/>
  <c r="K64" i="26"/>
  <c r="J64" i="26"/>
  <c r="K63" i="26"/>
  <c r="J63" i="26"/>
  <c r="K62" i="26"/>
  <c r="J62" i="26"/>
  <c r="K61" i="26"/>
  <c r="J61" i="26"/>
  <c r="K60" i="26"/>
  <c r="J60" i="26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K41" i="26"/>
  <c r="J41" i="26"/>
  <c r="K40" i="26"/>
  <c r="J40" i="26"/>
  <c r="K39" i="26"/>
  <c r="J39" i="26"/>
  <c r="K38" i="26"/>
  <c r="J38" i="26"/>
  <c r="K36" i="26"/>
  <c r="J36" i="26"/>
  <c r="K35" i="26"/>
  <c r="J35" i="26"/>
  <c r="K34" i="26"/>
  <c r="J34" i="26"/>
  <c r="K33" i="26"/>
  <c r="J33" i="26"/>
  <c r="K32" i="26"/>
  <c r="J32" i="26"/>
  <c r="K31" i="26"/>
  <c r="J31" i="26"/>
  <c r="K30" i="26"/>
  <c r="J30" i="26"/>
  <c r="K29" i="26"/>
  <c r="J29" i="26"/>
  <c r="K27" i="26"/>
  <c r="J27" i="26"/>
  <c r="K26" i="26"/>
  <c r="J26" i="26"/>
  <c r="K25" i="26"/>
  <c r="J25" i="26"/>
  <c r="K24" i="26"/>
  <c r="J24" i="26"/>
  <c r="K23" i="26"/>
  <c r="J23" i="26"/>
  <c r="K22" i="26"/>
  <c r="J22" i="26"/>
  <c r="K21" i="26"/>
  <c r="J21" i="26"/>
  <c r="K20" i="26"/>
  <c r="J20" i="26"/>
  <c r="K18" i="26"/>
  <c r="K17" i="26"/>
  <c r="K16" i="26"/>
  <c r="K15" i="26"/>
  <c r="K14" i="26"/>
  <c r="K13" i="26"/>
  <c r="K12" i="26"/>
  <c r="J12" i="26"/>
  <c r="K11" i="26"/>
  <c r="J11" i="26"/>
  <c r="K10" i="26"/>
  <c r="J10" i="26"/>
  <c r="K9" i="26"/>
  <c r="J9" i="26"/>
  <c r="K8" i="26"/>
  <c r="J8" i="26"/>
  <c r="K7" i="26"/>
  <c r="J7" i="26"/>
  <c r="K6" i="26"/>
  <c r="J6" i="26"/>
  <c r="K5" i="26"/>
  <c r="J5" i="26"/>
  <c r="K4" i="26"/>
  <c r="J4" i="26"/>
  <c r="K3" i="26"/>
  <c r="J3" i="26"/>
  <c r="G11" i="27"/>
  <c r="G13" i="27"/>
  <c r="G12" i="27"/>
  <c r="G8" i="27"/>
  <c r="G7" i="27"/>
  <c r="G6" i="27"/>
  <c r="L47" i="27" l="1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2" i="27"/>
  <c r="J51" i="27"/>
  <c r="J50" i="27"/>
  <c r="J49" i="27"/>
  <c r="J48" i="27"/>
  <c r="J47" i="27"/>
  <c r="J46" i="27"/>
  <c r="J45" i="27"/>
  <c r="J44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AH2" i="27" s="1"/>
  <c r="L14" i="27"/>
  <c r="L19" i="27"/>
  <c r="L22" i="27"/>
  <c r="L52" i="27"/>
  <c r="AH52" i="27" s="1"/>
  <c r="L11" i="27"/>
  <c r="D17" i="27"/>
  <c r="D18" i="27"/>
  <c r="D19" i="27"/>
  <c r="D22" i="27"/>
  <c r="D23" i="27"/>
  <c r="D24" i="27"/>
  <c r="L119" i="26"/>
  <c r="AM119" i="26" s="1"/>
  <c r="G32" i="26"/>
  <c r="E14" i="26"/>
  <c r="J14" i="26" s="1"/>
  <c r="E15" i="26"/>
  <c r="J15" i="26" s="1"/>
  <c r="E16" i="26"/>
  <c r="J16" i="26" s="1"/>
  <c r="E17" i="26"/>
  <c r="J17" i="26" s="1"/>
  <c r="E18" i="26"/>
  <c r="J18" i="26" s="1"/>
  <c r="E13" i="26"/>
  <c r="J13" i="26" s="1"/>
  <c r="L13" i="27"/>
  <c r="L12" i="27"/>
  <c r="AI11" i="27"/>
  <c r="L10" i="27"/>
  <c r="L25" i="27"/>
  <c r="L24" i="27"/>
  <c r="L23" i="27"/>
  <c r="L21" i="27"/>
  <c r="L20" i="27"/>
  <c r="L18" i="27"/>
  <c r="L17" i="27"/>
  <c r="AH17" i="27" s="1"/>
  <c r="L16" i="27"/>
  <c r="L51" i="27"/>
  <c r="AH130" i="26"/>
  <c r="G126" i="26"/>
  <c r="G125" i="26"/>
  <c r="L125" i="26" s="1"/>
  <c r="AM125" i="26" s="1"/>
  <c r="G124" i="26"/>
  <c r="G123" i="26"/>
  <c r="AH122" i="26"/>
  <c r="G122" i="26"/>
  <c r="AH121" i="26"/>
  <c r="AK121" i="26" s="1"/>
  <c r="G121" i="26"/>
  <c r="AH120" i="26"/>
  <c r="AK120" i="26" s="1"/>
  <c r="G120" i="26"/>
  <c r="AH119" i="26"/>
  <c r="G85" i="26"/>
  <c r="L85" i="26" s="1"/>
  <c r="AM85" i="26" s="1"/>
  <c r="AH85" i="26"/>
  <c r="AK85" i="26" s="1"/>
  <c r="G33" i="26"/>
  <c r="G34" i="26"/>
  <c r="G35" i="26"/>
  <c r="G36" i="26"/>
  <c r="AH11" i="27" l="1"/>
  <c r="AH19" i="27"/>
  <c r="AH18" i="27"/>
  <c r="AH21" i="27"/>
  <c r="AH14" i="27"/>
  <c r="AH13" i="27"/>
  <c r="AH22" i="27"/>
  <c r="AH24" i="27"/>
  <c r="AH51" i="27"/>
  <c r="AH25" i="27"/>
  <c r="AH10" i="27"/>
  <c r="AH12" i="27"/>
  <c r="AH20" i="27"/>
  <c r="AH23" i="27"/>
  <c r="AH16" i="27"/>
  <c r="AH47" i="27"/>
  <c r="L124" i="26"/>
  <c r="AM124" i="26" s="1"/>
  <c r="L130" i="26"/>
  <c r="AM130" i="26" s="1"/>
  <c r="L122" i="26"/>
  <c r="AM122" i="26" s="1"/>
  <c r="AK122" i="26"/>
  <c r="L121" i="26"/>
  <c r="AM121" i="26" s="1"/>
  <c r="L123" i="26"/>
  <c r="AM123" i="26" s="1"/>
  <c r="L120" i="26"/>
  <c r="AM120" i="26" s="1"/>
  <c r="L126" i="26"/>
  <c r="AM126" i="26" s="1"/>
  <c r="AH73" i="26" l="1"/>
  <c r="L73" i="26"/>
  <c r="AM73" i="26" s="1"/>
  <c r="AH67" i="26"/>
  <c r="L67" i="26"/>
  <c r="AM67" i="26" s="1"/>
  <c r="AH66" i="26"/>
  <c r="L66" i="26"/>
  <c r="AM66" i="26" s="1"/>
  <c r="AH65" i="26"/>
  <c r="G65" i="26"/>
  <c r="L65" i="26" s="1"/>
  <c r="AM65" i="26" s="1"/>
  <c r="AH64" i="26"/>
  <c r="L64" i="26"/>
  <c r="AM64" i="26" s="1"/>
  <c r="G59" i="26"/>
  <c r="L59" i="26" s="1"/>
  <c r="AM59" i="26" s="1"/>
  <c r="AH59" i="26"/>
  <c r="G60" i="26"/>
  <c r="L60" i="26" s="1"/>
  <c r="AM60" i="26" s="1"/>
  <c r="AH60" i="26"/>
  <c r="G61" i="26"/>
  <c r="L61" i="26" s="1"/>
  <c r="AM61" i="26" s="1"/>
  <c r="AH61" i="26"/>
  <c r="G62" i="26"/>
  <c r="L62" i="26" s="1"/>
  <c r="AM62" i="26" s="1"/>
  <c r="AH62" i="26"/>
  <c r="AH63" i="26"/>
  <c r="L63" i="26"/>
  <c r="AM63" i="26" s="1"/>
  <c r="AH58" i="26"/>
  <c r="L58" i="26" l="1"/>
  <c r="AM58" i="26" s="1"/>
  <c r="G114" i="26" l="1"/>
  <c r="L114" i="26" s="1"/>
  <c r="AM114" i="26" s="1"/>
  <c r="L115" i="26"/>
  <c r="AM115" i="26" s="1"/>
  <c r="G113" i="26"/>
  <c r="L113" i="26" s="1"/>
  <c r="AM113" i="26" s="1"/>
  <c r="L112" i="26"/>
  <c r="AM112" i="26" s="1"/>
  <c r="AH57" i="26"/>
  <c r="L57" i="26"/>
  <c r="AM57" i="26" s="1"/>
  <c r="AH56" i="26"/>
  <c r="G56" i="26"/>
  <c r="AH55" i="26"/>
  <c r="G55" i="26"/>
  <c r="L55" i="26" s="1"/>
  <c r="AM55" i="26" s="1"/>
  <c r="AH54" i="26"/>
  <c r="G54" i="26"/>
  <c r="AH53" i="26"/>
  <c r="G53" i="26"/>
  <c r="L53" i="26" s="1"/>
  <c r="AM53" i="26" s="1"/>
  <c r="AH52" i="26"/>
  <c r="AH51" i="26"/>
  <c r="L51" i="26"/>
  <c r="AM51" i="26" s="1"/>
  <c r="L47" i="26"/>
  <c r="AM47" i="26" s="1"/>
  <c r="AH47" i="26"/>
  <c r="L56" i="26" l="1"/>
  <c r="AM56" i="26" s="1"/>
  <c r="L54" i="26"/>
  <c r="AM54" i="26" s="1"/>
  <c r="L52" i="26"/>
  <c r="AM52" i="26" s="1"/>
  <c r="L33" i="26"/>
  <c r="AM33" i="26" s="1"/>
  <c r="L34" i="26"/>
  <c r="AM34" i="26" s="1"/>
  <c r="L35" i="26"/>
  <c r="AM35" i="26" s="1"/>
  <c r="L36" i="26"/>
  <c r="AM36" i="26" s="1"/>
  <c r="L24" i="26"/>
  <c r="AM24" i="26" s="1"/>
  <c r="L25" i="26"/>
  <c r="AM25" i="26" s="1"/>
  <c r="L26" i="26"/>
  <c r="AM26" i="26" s="1"/>
  <c r="L27" i="26"/>
  <c r="AM27" i="26" s="1"/>
  <c r="L17" i="26"/>
  <c r="AM17" i="26" s="1"/>
  <c r="AH87" i="26"/>
  <c r="L87" i="26"/>
  <c r="AM87" i="26" s="1"/>
  <c r="G88" i="26"/>
  <c r="L88" i="26" l="1"/>
  <c r="AM88" i="26" s="1"/>
  <c r="G49" i="26" l="1"/>
  <c r="AH49" i="26"/>
  <c r="G50" i="26"/>
  <c r="L50" i="26" s="1"/>
  <c r="AM50" i="26" s="1"/>
  <c r="AH50" i="26"/>
  <c r="L14" i="26"/>
  <c r="AM14" i="26" s="1"/>
  <c r="L15" i="26"/>
  <c r="AM15" i="26" s="1"/>
  <c r="L16" i="26"/>
  <c r="AM16" i="26" s="1"/>
  <c r="L18" i="26"/>
  <c r="AM18" i="26" s="1"/>
  <c r="L54" i="27"/>
  <c r="AH54" i="27" s="1"/>
  <c r="L108" i="27"/>
  <c r="AH108" i="27" s="1"/>
  <c r="L110" i="27"/>
  <c r="AH110" i="27" s="1"/>
  <c r="L112" i="27"/>
  <c r="AH112" i="27" s="1"/>
  <c r="L113" i="27"/>
  <c r="AH113" i="27" s="1"/>
  <c r="L55" i="27"/>
  <c r="AH55" i="27" s="1"/>
  <c r="L56" i="27"/>
  <c r="AH56" i="27" s="1"/>
  <c r="L57" i="27"/>
  <c r="AH57" i="27" s="1"/>
  <c r="L58" i="27"/>
  <c r="AH58" i="27" s="1"/>
  <c r="L59" i="27"/>
  <c r="AH59" i="27" s="1"/>
  <c r="L60" i="27"/>
  <c r="AH60" i="27" s="1"/>
  <c r="L61" i="27"/>
  <c r="AH61" i="27" s="1"/>
  <c r="L62" i="27"/>
  <c r="AH62" i="27" s="1"/>
  <c r="L63" i="27"/>
  <c r="AH63" i="27" s="1"/>
  <c r="L64" i="27"/>
  <c r="AH64" i="27" s="1"/>
  <c r="L65" i="27"/>
  <c r="AH65" i="27" s="1"/>
  <c r="L66" i="27"/>
  <c r="AH66" i="27" s="1"/>
  <c r="L67" i="27"/>
  <c r="AH67" i="27" s="1"/>
  <c r="L68" i="27"/>
  <c r="AH68" i="27" s="1"/>
  <c r="L69" i="27"/>
  <c r="AH69" i="27" s="1"/>
  <c r="L70" i="27"/>
  <c r="AH70" i="27" s="1"/>
  <c r="L71" i="27"/>
  <c r="AH71" i="27" s="1"/>
  <c r="L72" i="27"/>
  <c r="AH72" i="27" s="1"/>
  <c r="L73" i="27"/>
  <c r="AH73" i="27" s="1"/>
  <c r="L74" i="27"/>
  <c r="AH74" i="27" s="1"/>
  <c r="L75" i="27"/>
  <c r="AH75" i="27" s="1"/>
  <c r="L76" i="27"/>
  <c r="AH76" i="27" s="1"/>
  <c r="L77" i="27"/>
  <c r="AH77" i="27" s="1"/>
  <c r="L78" i="27"/>
  <c r="AH78" i="27" s="1"/>
  <c r="L79" i="27"/>
  <c r="AH79" i="27" s="1"/>
  <c r="L80" i="27"/>
  <c r="AH80" i="27" s="1"/>
  <c r="L81" i="27"/>
  <c r="AH81" i="27" s="1"/>
  <c r="L82" i="27"/>
  <c r="AH82" i="27" s="1"/>
  <c r="L83" i="27"/>
  <c r="AH83" i="27" s="1"/>
  <c r="L84" i="27"/>
  <c r="AH84" i="27" s="1"/>
  <c r="L85" i="27"/>
  <c r="AH85" i="27" s="1"/>
  <c r="L86" i="27"/>
  <c r="AH86" i="27" s="1"/>
  <c r="L87" i="27"/>
  <c r="AH87" i="27" s="1"/>
  <c r="L88" i="27"/>
  <c r="AH88" i="27" s="1"/>
  <c r="L89" i="27"/>
  <c r="AH89" i="27" s="1"/>
  <c r="L90" i="27"/>
  <c r="AH90" i="27" s="1"/>
  <c r="L91" i="27"/>
  <c r="AH91" i="27" s="1"/>
  <c r="L92" i="27"/>
  <c r="AH92" i="27" s="1"/>
  <c r="L93" i="27"/>
  <c r="AH93" i="27" s="1"/>
  <c r="L94" i="27"/>
  <c r="AH94" i="27" s="1"/>
  <c r="L95" i="27"/>
  <c r="AH95" i="27" s="1"/>
  <c r="L96" i="27"/>
  <c r="AH96" i="27" s="1"/>
  <c r="L97" i="27"/>
  <c r="AH97" i="27" s="1"/>
  <c r="L98" i="27"/>
  <c r="AH98" i="27" s="1"/>
  <c r="L99" i="27"/>
  <c r="AH99" i="27" s="1"/>
  <c r="L100" i="27"/>
  <c r="AH100" i="27" s="1"/>
  <c r="L101" i="27"/>
  <c r="AH101" i="27" s="1"/>
  <c r="L102" i="27"/>
  <c r="AH102" i="27" s="1"/>
  <c r="L109" i="27"/>
  <c r="AH109" i="27" s="1"/>
  <c r="L48" i="27"/>
  <c r="AH48" i="27" s="1"/>
  <c r="L49" i="27"/>
  <c r="AH49" i="27" s="1"/>
  <c r="L50" i="27"/>
  <c r="AH50" i="27" s="1"/>
  <c r="L27" i="27"/>
  <c r="AH27" i="27" s="1"/>
  <c r="L28" i="27"/>
  <c r="AH28" i="27" s="1"/>
  <c r="L29" i="27"/>
  <c r="AH29" i="27" s="1"/>
  <c r="L30" i="27"/>
  <c r="AH30" i="27" s="1"/>
  <c r="L31" i="27"/>
  <c r="AH31" i="27" s="1"/>
  <c r="L32" i="27"/>
  <c r="AH32" i="27" s="1"/>
  <c r="L33" i="27"/>
  <c r="AH33" i="27" s="1"/>
  <c r="L34" i="27"/>
  <c r="AH34" i="27" s="1"/>
  <c r="L35" i="27"/>
  <c r="AH35" i="27" s="1"/>
  <c r="L36" i="27"/>
  <c r="AH36" i="27" s="1"/>
  <c r="L9" i="27"/>
  <c r="AH9" i="27" s="1"/>
  <c r="L15" i="27"/>
  <c r="AH15" i="27" s="1"/>
  <c r="L26" i="27"/>
  <c r="AH26" i="27" s="1"/>
  <c r="L7" i="27"/>
  <c r="AH7" i="27" s="1"/>
  <c r="L8" i="27"/>
  <c r="AH8" i="27" s="1"/>
  <c r="L49" i="26" l="1"/>
  <c r="AM49" i="26" s="1"/>
  <c r="L74" i="26"/>
  <c r="AM74" i="26" s="1"/>
  <c r="L75" i="26"/>
  <c r="AM75" i="26" s="1"/>
  <c r="L76" i="26"/>
  <c r="AM76" i="26" s="1"/>
  <c r="L77" i="26"/>
  <c r="AM77" i="26" s="1"/>
  <c r="L80" i="26"/>
  <c r="AM80" i="26" s="1"/>
  <c r="L81" i="26"/>
  <c r="AM81" i="26" s="1"/>
  <c r="L82" i="26"/>
  <c r="AM82" i="26" s="1"/>
  <c r="L86" i="26"/>
  <c r="AM86" i="26" s="1"/>
  <c r="L106" i="26"/>
  <c r="AM106" i="26" s="1"/>
  <c r="L107" i="26"/>
  <c r="AM107" i="26" s="1"/>
  <c r="L111" i="26"/>
  <c r="AM111" i="26" s="1"/>
  <c r="L116" i="26"/>
  <c r="AM116" i="26" s="1"/>
  <c r="L118" i="26"/>
  <c r="AM118" i="26" s="1"/>
  <c r="L22" i="26"/>
  <c r="AM22" i="26" s="1"/>
  <c r="L23" i="26"/>
  <c r="AM23" i="26" s="1"/>
  <c r="L29" i="26"/>
  <c r="AM29" i="26" s="1"/>
  <c r="L30" i="26"/>
  <c r="AM30" i="26" s="1"/>
  <c r="L21" i="26"/>
  <c r="AM21" i="26" s="1"/>
  <c r="G134" i="26"/>
  <c r="G117" i="26"/>
  <c r="G109" i="26"/>
  <c r="G110" i="26"/>
  <c r="G10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68" i="26"/>
  <c r="G43" i="26"/>
  <c r="L38" i="26"/>
  <c r="AM38" i="26" s="1"/>
  <c r="G31" i="26"/>
  <c r="L91" i="26" l="1"/>
  <c r="AM91" i="26" s="1"/>
  <c r="L98" i="26"/>
  <c r="AM98" i="26" s="1"/>
  <c r="L97" i="26"/>
  <c r="AM97" i="26" s="1"/>
  <c r="L104" i="26"/>
  <c r="AM104" i="26" s="1"/>
  <c r="L96" i="26"/>
  <c r="AM96" i="26" s="1"/>
  <c r="L105" i="26"/>
  <c r="AM105" i="26" s="1"/>
  <c r="L103" i="26"/>
  <c r="AM103" i="26" s="1"/>
  <c r="L95" i="26"/>
  <c r="AM95" i="26" s="1"/>
  <c r="L110" i="26"/>
  <c r="AM110" i="26" s="1"/>
  <c r="L31" i="26"/>
  <c r="AM31" i="26" s="1"/>
  <c r="L102" i="26"/>
  <c r="AM102" i="26" s="1"/>
  <c r="L94" i="26"/>
  <c r="AM94" i="26" s="1"/>
  <c r="L109" i="26"/>
  <c r="AM109" i="26" s="1"/>
  <c r="L99" i="26"/>
  <c r="AM99" i="26" s="1"/>
  <c r="L90" i="26"/>
  <c r="AM90" i="26" s="1"/>
  <c r="L101" i="26"/>
  <c r="AM101" i="26" s="1"/>
  <c r="L93" i="26"/>
  <c r="AM93" i="26" s="1"/>
  <c r="L108" i="26"/>
  <c r="AM108" i="26" s="1"/>
  <c r="L117" i="26"/>
  <c r="AM117" i="26" s="1"/>
  <c r="L89" i="26"/>
  <c r="AM89" i="26" s="1"/>
  <c r="L32" i="26"/>
  <c r="AM32" i="26" s="1"/>
  <c r="L100" i="26"/>
  <c r="AM100" i="26" s="1"/>
  <c r="L92" i="26"/>
  <c r="AM92" i="26" s="1"/>
  <c r="L43" i="26"/>
  <c r="AM43" i="26" s="1"/>
  <c r="L68" i="26"/>
  <c r="AM68" i="26" s="1"/>
  <c r="CC11" i="26"/>
  <c r="CB11" i="26"/>
  <c r="BZ8" i="26"/>
  <c r="BZ9" i="26" s="1"/>
  <c r="BZ10" i="26" s="1"/>
  <c r="L107" i="27"/>
  <c r="AH107" i="27" s="1"/>
  <c r="L106" i="27"/>
  <c r="AH106" i="27" s="1"/>
  <c r="AK134" i="26"/>
  <c r="AH13" i="26"/>
  <c r="AK13" i="26" s="1"/>
  <c r="AH12" i="26"/>
  <c r="AH11" i="26"/>
  <c r="AH10" i="26"/>
  <c r="AH6" i="26"/>
  <c r="AH84" i="26" l="1"/>
  <c r="AK84" i="26" s="1"/>
  <c r="G84" i="26" l="1"/>
  <c r="L84" i="26" l="1"/>
  <c r="AM84" i="26" s="1"/>
  <c r="AH15" i="26"/>
  <c r="AK15" i="26" s="1"/>
  <c r="AH48" i="26"/>
  <c r="AI111" i="27"/>
  <c r="AI104" i="27"/>
  <c r="L103" i="27"/>
  <c r="AH103" i="27" s="1"/>
  <c r="L46" i="27"/>
  <c r="AH46" i="27" s="1"/>
  <c r="L45" i="27"/>
  <c r="AH45" i="27" s="1"/>
  <c r="L44" i="27"/>
  <c r="AH44" i="27" s="1"/>
  <c r="L37" i="27"/>
  <c r="AH37" i="27" s="1"/>
  <c r="L5" i="27"/>
  <c r="AH5" i="27" s="1"/>
  <c r="L4" i="27"/>
  <c r="AH4" i="27" s="1"/>
  <c r="L3" i="27"/>
  <c r="AH3" i="27" s="1"/>
  <c r="L111" i="27" l="1"/>
  <c r="AH111" i="27" s="1"/>
  <c r="L105" i="27"/>
  <c r="AH105" i="27" s="1"/>
  <c r="L104" i="27"/>
  <c r="AH104" i="27" s="1"/>
  <c r="AH111" i="26" l="1"/>
  <c r="AK111" i="26" s="1"/>
  <c r="G48" i="26"/>
  <c r="L46" i="26"/>
  <c r="AM46" i="26" s="1"/>
  <c r="AH74" i="26" l="1"/>
  <c r="AH107" i="26"/>
  <c r="AH106" i="26"/>
  <c r="AH46" i="26"/>
  <c r="L48" i="26"/>
  <c r="AM48" i="26" s="1"/>
  <c r="L136" i="26" l="1"/>
  <c r="AM136" i="26" s="1"/>
  <c r="L135" i="26"/>
  <c r="AM135" i="26" s="1"/>
  <c r="L133" i="26"/>
  <c r="AM133" i="26" s="1"/>
  <c r="L132" i="26"/>
  <c r="AM132" i="26" s="1"/>
  <c r="L131" i="26"/>
  <c r="AM131" i="26" s="1"/>
  <c r="AH83" i="26"/>
  <c r="AK83" i="26" s="1"/>
  <c r="AH79" i="26"/>
  <c r="AH78" i="26"/>
  <c r="AH42" i="26"/>
  <c r="AK42" i="26" s="1"/>
  <c r="AH86" i="26" l="1"/>
  <c r="AH80" i="26"/>
  <c r="AH131" i="26"/>
  <c r="AH75" i="26"/>
  <c r="AH76" i="26"/>
  <c r="AH81" i="26"/>
  <c r="AH132" i="26"/>
  <c r="AH77" i="26"/>
  <c r="AH82" i="26"/>
  <c r="AH133" i="26"/>
  <c r="L134" i="26"/>
  <c r="AM134" i="26" s="1"/>
  <c r="G42" i="26"/>
  <c r="G83" i="26"/>
  <c r="G78" i="26"/>
  <c r="G79" i="26"/>
  <c r="L42" i="26" l="1"/>
  <c r="AM42" i="26" s="1"/>
  <c r="L79" i="26"/>
  <c r="AM79" i="26" s="1"/>
  <c r="L83" i="26"/>
  <c r="AM83" i="26" s="1"/>
  <c r="L78" i="26"/>
  <c r="AM78" i="26" s="1"/>
  <c r="L44" i="26"/>
  <c r="AM44" i="26" s="1"/>
  <c r="AH41" i="26"/>
  <c r="AK41" i="26" s="1"/>
  <c r="L40" i="26"/>
  <c r="AM40" i="26" s="1"/>
  <c r="L45" i="26"/>
  <c r="AM45" i="26" s="1"/>
  <c r="L39" i="26"/>
  <c r="AM39" i="26" s="1"/>
  <c r="L20" i="26"/>
  <c r="AM20" i="26" s="1"/>
  <c r="AH20" i="26" l="1"/>
  <c r="AH39" i="26"/>
  <c r="AH45" i="26"/>
  <c r="AH40" i="26"/>
  <c r="AH44" i="26"/>
  <c r="G41" i="26"/>
  <c r="L12" i="26"/>
  <c r="AM12" i="26" s="1"/>
  <c r="L4" i="26"/>
  <c r="AM4" i="26" s="1"/>
  <c r="L5" i="26"/>
  <c r="AM5" i="26" s="1"/>
  <c r="L8" i="26"/>
  <c r="AM8" i="26" s="1"/>
  <c r="L9" i="26"/>
  <c r="AM9" i="26" s="1"/>
  <c r="L10" i="26"/>
  <c r="AM10" i="26" s="1"/>
  <c r="L11" i="26"/>
  <c r="AM11" i="26" s="1"/>
  <c r="L3" i="26"/>
  <c r="AM3" i="26" s="1"/>
  <c r="AH7" i="26"/>
  <c r="L41" i="26" l="1"/>
  <c r="AM41" i="26" s="1"/>
  <c r="AH8" i="26"/>
  <c r="AH9" i="26"/>
  <c r="L7" i="26"/>
  <c r="AM7" i="26" s="1"/>
  <c r="L13" i="26" l="1"/>
  <c r="AM13" i="26" s="1"/>
  <c r="L6" i="26"/>
  <c r="AM6" i="26" s="1"/>
  <c r="AI6" i="27" l="1"/>
  <c r="L6" i="27"/>
  <c r="AH6" i="27" s="1"/>
  <c r="J37" i="26"/>
  <c r="L37" i="26"/>
  <c r="AM37" i="26" s="1"/>
</calcChain>
</file>

<file path=xl/sharedStrings.xml><?xml version="1.0" encoding="utf-8"?>
<sst xmlns="http://schemas.openxmlformats.org/spreadsheetml/2006/main" count="2469" uniqueCount="787">
  <si>
    <t>PL</t>
  </si>
  <si>
    <t>UPLOAD.COMP</t>
  </si>
  <si>
    <t>DESC</t>
  </si>
  <si>
    <t>TOTAL.PRINT</t>
  </si>
  <si>
    <t>TOTAL.ACCUM</t>
  </si>
  <si>
    <t>SPACE.BEFORE</t>
  </si>
  <si>
    <t>SPACE.AFTER</t>
  </si>
  <si>
    <t>PROFIT1</t>
  </si>
  <si>
    <t>PROFIT2</t>
  </si>
  <si>
    <t>ASSET.EXT.DUP</t>
  </si>
  <si>
    <t>HEADING</t>
  </si>
  <si>
    <t>DETAIL</t>
  </si>
  <si>
    <t>TOTAL</t>
  </si>
  <si>
    <t>EQUITY</t>
  </si>
  <si>
    <t>ASSET2</t>
  </si>
  <si>
    <t>PROFIT3</t>
  </si>
  <si>
    <t>PROFIT4</t>
  </si>
  <si>
    <t>ASSETS</t>
  </si>
  <si>
    <t>LIABILITIES</t>
  </si>
  <si>
    <t>OTHER LIABILITIES</t>
  </si>
  <si>
    <t>EXPENSES</t>
  </si>
  <si>
    <t>RETAINED EARNINGS</t>
  </si>
  <si>
    <t>**</t>
  </si>
  <si>
    <t>SUPPRESSION</t>
  </si>
  <si>
    <t>ASSET.SIGN</t>
  </si>
  <si>
    <t>ASSET.OPP.LINE</t>
  </si>
  <si>
    <t>ASSET.CURRENCY</t>
  </si>
  <si>
    <t>LINE</t>
  </si>
  <si>
    <t>GAP</t>
  </si>
  <si>
    <t>DEF</t>
  </si>
  <si>
    <t>***</t>
  </si>
  <si>
    <t>@ID</t>
  </si>
  <si>
    <t>K.TYPE</t>
  </si>
  <si>
    <t>0010</t>
  </si>
  <si>
    <t>TOT - ASSETS</t>
  </si>
  <si>
    <t>TOT - OTHER LIABILITIES</t>
  </si>
  <si>
    <t>TOT - LIABILITIES</t>
  </si>
  <si>
    <t>TOT - EQUITY</t>
  </si>
  <si>
    <t>CASH AND CASH EQUIVALENTS</t>
  </si>
  <si>
    <t>BALANCES WITH BANKS</t>
  </si>
  <si>
    <t>0092</t>
  </si>
  <si>
    <t>0093</t>
  </si>
  <si>
    <t>TOT - BALANCES WITH BANKS</t>
  </si>
  <si>
    <t>0150</t>
  </si>
  <si>
    <t>TOT - CASH AND CASH EQUIVALENTS</t>
  </si>
  <si>
    <t>0250</t>
  </si>
  <si>
    <t>0260</t>
  </si>
  <si>
    <t>RETAIL FINANCING</t>
  </si>
  <si>
    <t>TOT - RETAIL FINANCE</t>
  </si>
  <si>
    <t>ISLAMIC FIN. &amp; RELATED ASSETS</t>
  </si>
  <si>
    <t>TOT - ISL FIN. &amp; RELATED ASTS</t>
  </si>
  <si>
    <t>PURCHASES</t>
  </si>
  <si>
    <t>GOODS IN TRANSIT</t>
  </si>
  <si>
    <t>VAT ASSET</t>
  </si>
  <si>
    <t>EQUITY AND LIABILITIES</t>
  </si>
  <si>
    <t>PURCHASE ORDER</t>
  </si>
  <si>
    <t>BROKERAGE FEE PAYABLE</t>
  </si>
  <si>
    <t>TOT - EQUITY AND LIABILITIES</t>
  </si>
  <si>
    <t>GRAND TOTAL</t>
  </si>
  <si>
    <t>AC</t>
  </si>
  <si>
    <t>DAL</t>
  </si>
  <si>
    <t>UNEARNED ADMIN FEE - PRSNL FIN</t>
  </si>
  <si>
    <t>PROFIT ON ISLAMIC FINANCING</t>
  </si>
  <si>
    <t>0020</t>
  </si>
  <si>
    <t>0021</t>
  </si>
  <si>
    <t>PROFIT ON RETAIL FINANCING</t>
  </si>
  <si>
    <t>TOT - PRFT ON RETAIL FINANCING</t>
  </si>
  <si>
    <t>TOT - PRFT ON ISL FINANCING</t>
  </si>
  <si>
    <t>FEES &amp; OTHER INCOME</t>
  </si>
  <si>
    <t>TOT - FEES &amp; OTHER INCOME</t>
  </si>
  <si>
    <t>TOT - PROFIT &amp; OTHER INCOME</t>
  </si>
  <si>
    <t>OPERATING EXPENSES</t>
  </si>
  <si>
    <t>TOT - OPERATING EXPENSES</t>
  </si>
  <si>
    <t>BAD DEBTS WRITTEN OFF</t>
  </si>
  <si>
    <t>TOT - BAD DEBTS WRITTEN OFF</t>
  </si>
  <si>
    <t>UNALLOCATED ITEMS</t>
  </si>
  <si>
    <t>TOT - UNALLOCATED ITEMS</t>
  </si>
  <si>
    <t>TOT - EXPENSES</t>
  </si>
  <si>
    <t>CATCH-ALL BALANCES</t>
  </si>
  <si>
    <t>TOT - CATCH-ALL BALANCES</t>
  </si>
  <si>
    <t>CATEGORY</t>
  </si>
  <si>
    <t>SECTOR</t>
  </si>
  <si>
    <t>RESIDENCE</t>
  </si>
  <si>
    <t>ASSET3</t>
  </si>
  <si>
    <t>ASSET6</t>
  </si>
  <si>
    <t>DAO</t>
  </si>
  <si>
    <t>SA0010001</t>
  </si>
  <si>
    <t>DESC:1:1</t>
  </si>
  <si>
    <t>DESC:2:1</t>
  </si>
  <si>
    <t>DESC:3:1</t>
  </si>
  <si>
    <t>PLCATEGORY</t>
  </si>
  <si>
    <t>PLPRODUCT</t>
  </si>
  <si>
    <t>PROFT.EXT.DUP</t>
  </si>
  <si>
    <t>SETTLEMENT ACCOUNTS</t>
  </si>
  <si>
    <t>TOT - SETTLEMENT ACCOUNTS</t>
  </si>
  <si>
    <t>PROFT.APPLIC.ID</t>
  </si>
  <si>
    <t>Dr</t>
  </si>
  <si>
    <t>Cr</t>
  </si>
  <si>
    <t>601600260000&gt;601600260002</t>
  </si>
  <si>
    <t>200900190000&gt;200900190001</t>
  </si>
  <si>
    <t>Amount</t>
  </si>
  <si>
    <t>Profit &amp; Loss</t>
  </si>
  <si>
    <t xml:space="preserve">Customer </t>
  </si>
  <si>
    <t>****</t>
  </si>
  <si>
    <t>1.1.1</t>
  </si>
  <si>
    <t>LEVELS</t>
  </si>
  <si>
    <t>1.2.1</t>
  </si>
  <si>
    <t>1.2.1.1</t>
  </si>
  <si>
    <t>1.2.2</t>
  </si>
  <si>
    <t>1.2.2.1</t>
  </si>
  <si>
    <t>NOSTRO ACCOUNT LCY</t>
  </si>
  <si>
    <t>NOSTRO ACCOUNT FCY</t>
  </si>
  <si>
    <t>SAR</t>
  </si>
  <si>
    <t>IJARAH FINANCING</t>
  </si>
  <si>
    <t>1.2.1.1.1</t>
  </si>
  <si>
    <t>1.2.1.1.2</t>
  </si>
  <si>
    <t>MURABAHA FINANCING</t>
  </si>
  <si>
    <t>INVENTORY TAWARRUQ</t>
  </si>
  <si>
    <t>TAWARRUQ FINANCING</t>
  </si>
  <si>
    <t>1.1.1.1</t>
  </si>
  <si>
    <t>1.1.1.2</t>
  </si>
  <si>
    <t>1.2.2.2</t>
  </si>
  <si>
    <t>1.2.2.3</t>
  </si>
  <si>
    <t>1.3.1.1</t>
  </si>
  <si>
    <t>1.3.1.3</t>
  </si>
  <si>
    <t>VAT PAYABLE</t>
  </si>
  <si>
    <t>CUSTOMER SETTLEMENT ACCOUNT</t>
  </si>
  <si>
    <t>CUSTOMER DOWNPAYMENT ACCOUNT</t>
  </si>
  <si>
    <t>RUSOOM PAYABLE</t>
  </si>
  <si>
    <t>1.2.1.2</t>
  </si>
  <si>
    <t>1.2.1.2.1</t>
  </si>
  <si>
    <t>1.2.1.2.2</t>
  </si>
  <si>
    <t>1.2.1.3</t>
  </si>
  <si>
    <t>1.2.1.3.1</t>
  </si>
  <si>
    <t>1.2.1.3.2</t>
  </si>
  <si>
    <t>3.1.1</t>
  </si>
  <si>
    <t>3.1.2</t>
  </si>
  <si>
    <t>3.2.1</t>
  </si>
  <si>
    <t>3.2.2</t>
  </si>
  <si>
    <t>3.2.4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</si>
  <si>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</si>
  <si>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</si>
  <si>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</si>
  <si>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</si>
  <si>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</si>
  <si>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</si>
  <si>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</si>
  <si>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</si>
  <si>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</si>
  <si>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</si>
  <si>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</si>
  <si>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</si>
  <si>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3.3.1</t>
  </si>
  <si>
    <t>3.3.2</t>
  </si>
  <si>
    <t>3.3.3</t>
  </si>
  <si>
    <t>TABS.0005</t>
  </si>
  <si>
    <t>TABS.0010</t>
  </si>
  <si>
    <t>TABS.0020</t>
  </si>
  <si>
    <t>0025</t>
  </si>
  <si>
    <t>0030</t>
  </si>
  <si>
    <t>0300</t>
  </si>
  <si>
    <t>0410</t>
  </si>
  <si>
    <t>0420</t>
  </si>
  <si>
    <t>0500</t>
  </si>
  <si>
    <t>TABS.</t>
  </si>
  <si>
    <t>TABS.0025</t>
  </si>
  <si>
    <t>TABS.0030</t>
  </si>
  <si>
    <t>TABS.0100</t>
  </si>
  <si>
    <t>TABS.0150</t>
  </si>
  <si>
    <t>TABS.0200</t>
  </si>
  <si>
    <t>TABS.0240</t>
  </si>
  <si>
    <t>TABS.0250</t>
  </si>
  <si>
    <t>TABS.0400</t>
  </si>
  <si>
    <t>TABS.0410</t>
  </si>
  <si>
    <t>TABS.0420</t>
  </si>
  <si>
    <t>TABS.0500</t>
  </si>
  <si>
    <t>TABS.0700</t>
  </si>
  <si>
    <t>TABS.0720</t>
  </si>
  <si>
    <t>TABS.0740</t>
  </si>
  <si>
    <t>TABS.0760</t>
  </si>
  <si>
    <t>TABS.0800</t>
  </si>
  <si>
    <t>TABS.1000</t>
  </si>
  <si>
    <t>TABS.1020</t>
  </si>
  <si>
    <t>TABS.1030</t>
  </si>
  <si>
    <t>TABS.1040</t>
  </si>
  <si>
    <t>TABS.1090</t>
  </si>
  <si>
    <t>TABS.1200</t>
  </si>
  <si>
    <t>TABS.1300</t>
  </si>
  <si>
    <t>TABS.1350</t>
  </si>
  <si>
    <t>TABS.2500</t>
  </si>
  <si>
    <t>TABS.2800</t>
  </si>
  <si>
    <t>TABS.5000</t>
  </si>
  <si>
    <t>TABS.5020</t>
  </si>
  <si>
    <t>TABS.5050</t>
  </si>
  <si>
    <t>TABS.5100</t>
  </si>
  <si>
    <t>TABS.5200</t>
  </si>
  <si>
    <t>TABS.6000</t>
  </si>
  <si>
    <t>TABS.6050</t>
  </si>
  <si>
    <t>TABS.6100</t>
  </si>
  <si>
    <t>TABS.6110</t>
  </si>
  <si>
    <t>TABS.6120</t>
  </si>
  <si>
    <t>TABS.6300</t>
  </si>
  <si>
    <t>TABS.6350</t>
  </si>
  <si>
    <t>TABS.6430</t>
  </si>
  <si>
    <t>TABS.6440</t>
  </si>
  <si>
    <t>TABS.6450</t>
  </si>
  <si>
    <t>TABS.6460</t>
  </si>
  <si>
    <t>TABS.6470</t>
  </si>
  <si>
    <t>TABS.6480</t>
  </si>
  <si>
    <t>TABS.6490</t>
  </si>
  <si>
    <t>TABS.6500</t>
  </si>
  <si>
    <t>TABS.6510</t>
  </si>
  <si>
    <t>TABS.6520</t>
  </si>
  <si>
    <t>TABS.6530</t>
  </si>
  <si>
    <t>TABS.6540</t>
  </si>
  <si>
    <t>TABS.6550</t>
  </si>
  <si>
    <t>TABS.6560</t>
  </si>
  <si>
    <t>TABS.6570</t>
  </si>
  <si>
    <t>TABS.6580</t>
  </si>
  <si>
    <t>TABS.6590</t>
  </si>
  <si>
    <t>TABS.6600</t>
  </si>
  <si>
    <t>TABS.7500</t>
  </si>
  <si>
    <t>TABS.7550</t>
  </si>
  <si>
    <t>TABS.7560</t>
  </si>
  <si>
    <t>TABS.7570</t>
  </si>
  <si>
    <t>TABS.7580</t>
  </si>
  <si>
    <t>TABS.7640</t>
  </si>
  <si>
    <t>TABS.7900</t>
  </si>
  <si>
    <t>TABS.7910</t>
  </si>
  <si>
    <t>TABS.7980</t>
  </si>
  <si>
    <t>TABS.8500</t>
  </si>
  <si>
    <t>TABS.9000</t>
  </si>
  <si>
    <t>TABS.9010</t>
  </si>
  <si>
    <t>TABS.9500</t>
  </si>
  <si>
    <t>TABS.9600</t>
  </si>
  <si>
    <t>TABS.9800</t>
  </si>
  <si>
    <t>3.4.1</t>
  </si>
  <si>
    <t>LEVEL</t>
  </si>
  <si>
    <t>2.1.1</t>
  </si>
  <si>
    <t>2.1.2</t>
  </si>
  <si>
    <t>2.1.3</t>
  </si>
  <si>
    <t>EARLT SETTLEMENT FEES</t>
  </si>
  <si>
    <t>BONUS/REBATE</t>
  </si>
  <si>
    <t>PARTIAL PAYMENT FEE</t>
  </si>
  <si>
    <t>DISCOUNT FROM VENDOR</t>
  </si>
  <si>
    <t>INSURANCE REVENUE</t>
  </si>
  <si>
    <t>REPOSSION CHARGES</t>
  </si>
  <si>
    <t>REGISTRATION RENEWAL FEE</t>
  </si>
  <si>
    <t>TRAFFIC VIOLATION FEE</t>
  </si>
  <si>
    <t>DELAY TRANSFER FEE</t>
  </si>
  <si>
    <t>OTHER FEES</t>
  </si>
  <si>
    <t>LEGAL FEES</t>
  </si>
  <si>
    <t>WRITE OFF EXPENSE PRINCIPAL</t>
  </si>
  <si>
    <t>WRITE OFF EXPENSE PROFIT</t>
  </si>
  <si>
    <t>WRITE OFF EXPENSE CHARGS</t>
  </si>
  <si>
    <t>WRITE OFF EXPENSE VAT</t>
  </si>
  <si>
    <t>INSURANCE COST</t>
  </si>
  <si>
    <t>BROKERAGE FEE EXPENSE</t>
  </si>
  <si>
    <t>API EXPENSES</t>
  </si>
  <si>
    <t>ELM YAKEEN</t>
  </si>
  <si>
    <t>ELM NAFATH BIOMETRICS</t>
  </si>
  <si>
    <t>ELM TAHQOOQ</t>
  </si>
  <si>
    <t>SAP GENERAL EXPENSES</t>
  </si>
  <si>
    <t>TAPL.</t>
  </si>
  <si>
    <t>GENERAL AND BUSINESS EXPENSES</t>
  </si>
  <si>
    <t>TOT - GENERAL AND BUSINESS EXP</t>
  </si>
  <si>
    <t>2.1.1.1</t>
  </si>
  <si>
    <t>2.1.1.2</t>
  </si>
  <si>
    <t>2.1.1.3</t>
  </si>
  <si>
    <t>2.1.2.1</t>
  </si>
  <si>
    <t>2.1.2.1.1</t>
  </si>
  <si>
    <t>2.1.2.1.2</t>
  </si>
  <si>
    <t>2.1.2.1.3</t>
  </si>
  <si>
    <t>2.1.2.1.4</t>
  </si>
  <si>
    <t>2.1.3.1</t>
  </si>
  <si>
    <t>2.1.3.2</t>
  </si>
  <si>
    <t>2.1.3.3</t>
  </si>
  <si>
    <t>2.1.3.4</t>
  </si>
  <si>
    <t>2.1.2.2</t>
  </si>
  <si>
    <t>2.1.2.2.1</t>
  </si>
  <si>
    <t>2.1.2.2.2</t>
  </si>
  <si>
    <t>2.1.2.2.3</t>
  </si>
  <si>
    <t>2.1.2.2.4</t>
  </si>
  <si>
    <t>2.1.2.2.5</t>
  </si>
  <si>
    <t>2.1.2.2.6</t>
  </si>
  <si>
    <t>2.1.2.2.7</t>
  </si>
  <si>
    <t>2.1.2.2.8</t>
  </si>
  <si>
    <t>2.1.2.2.9</t>
  </si>
  <si>
    <t>2.1.2.2.10</t>
  </si>
  <si>
    <t>2.1.2.2.11</t>
  </si>
  <si>
    <t>2.1.2.3</t>
  </si>
  <si>
    <t>2.1.2.2.3.1</t>
  </si>
  <si>
    <t>2.1.2.2.3.2</t>
  </si>
  <si>
    <t>2.1.2.2.3.3</t>
  </si>
  <si>
    <t>2.1.2.2.3.4</t>
  </si>
  <si>
    <t>2.1.2.2.3.5</t>
  </si>
  <si>
    <t>2.1.2.2.3.6</t>
  </si>
  <si>
    <t>2.1.2.2.3.7</t>
  </si>
  <si>
    <t>2.1.2.2.3.8</t>
  </si>
  <si>
    <t>2.1.2.2.3.9</t>
  </si>
  <si>
    <t>2.1.2.2.3.10</t>
  </si>
  <si>
    <t>2.1.2.2.3.11</t>
  </si>
  <si>
    <t>2.1.2.4</t>
  </si>
  <si>
    <t>2.1.2.4.1</t>
  </si>
  <si>
    <t>2.1.2.4.2</t>
  </si>
  <si>
    <t>2.1.2.4.3</t>
  </si>
  <si>
    <t>2.1.2.4.4</t>
  </si>
  <si>
    <t>2.1.2.4.5</t>
  </si>
  <si>
    <t>2.1.2.4.6</t>
  </si>
  <si>
    <t>2.1.2.4.7</t>
  </si>
  <si>
    <t>2.1.2.4.8</t>
  </si>
  <si>
    <t>2.1.2.4.9</t>
  </si>
  <si>
    <t>2.1.2.4.10</t>
  </si>
  <si>
    <t>2.1.2.4.11</t>
  </si>
  <si>
    <t>2.1.2.4.12</t>
  </si>
  <si>
    <t>TAPL.4100</t>
  </si>
  <si>
    <t>TAPL.4110</t>
  </si>
  <si>
    <t>TAPL.4120</t>
  </si>
  <si>
    <t>TAPL.4130</t>
  </si>
  <si>
    <t>TAPL.4610</t>
  </si>
  <si>
    <t>TAPL.4620</t>
  </si>
  <si>
    <t>TAPL.4630</t>
  </si>
  <si>
    <t>TAPL.4640</t>
  </si>
  <si>
    <t>TAPL.5010</t>
  </si>
  <si>
    <t>TAPL.5020</t>
  </si>
  <si>
    <t>TAPL.5030</t>
  </si>
  <si>
    <t>TAPL.5040</t>
  </si>
  <si>
    <t>TAPL.5050</t>
  </si>
  <si>
    <t>TAPL.5060</t>
  </si>
  <si>
    <t>TAPL.5070</t>
  </si>
  <si>
    <t>TAPL.5080</t>
  </si>
  <si>
    <t>TAPL.5090</t>
  </si>
  <si>
    <t>TAPL.5100</t>
  </si>
  <si>
    <t>TAPL.5110</t>
  </si>
  <si>
    <t>TAPL.5140</t>
  </si>
  <si>
    <t>TAPL.5150</t>
  </si>
  <si>
    <t>TAPL.5160</t>
  </si>
  <si>
    <t>TAPL.5170</t>
  </si>
  <si>
    <t>TAPL.5180</t>
  </si>
  <si>
    <t>TAPL.5190</t>
  </si>
  <si>
    <t>TAPL.5200</t>
  </si>
  <si>
    <t>TAPL.5210</t>
  </si>
  <si>
    <t>TAPL.5220</t>
  </si>
  <si>
    <t>TAPL.5230</t>
  </si>
  <si>
    <t>TAPL.5240</t>
  </si>
  <si>
    <t>TAPL.5610</t>
  </si>
  <si>
    <t>TAPL.5620</t>
  </si>
  <si>
    <t>TAPL.5630</t>
  </si>
  <si>
    <t>TAPL.5640</t>
  </si>
  <si>
    <t>TAPL.5650</t>
  </si>
  <si>
    <t>TAPL.5660</t>
  </si>
  <si>
    <t>TAPL.5670</t>
  </si>
  <si>
    <t>TAPL.5680</t>
  </si>
  <si>
    <t>TAPL.5690</t>
  </si>
  <si>
    <t>TAPL.5700</t>
  </si>
  <si>
    <t>TAPL.5710</t>
  </si>
  <si>
    <t>TAPL.5720</t>
  </si>
  <si>
    <t>TAPL.6020</t>
  </si>
  <si>
    <t>TAPL.6030</t>
  </si>
  <si>
    <t>TAPL.6040</t>
  </si>
  <si>
    <t>TAPL.6050</t>
  </si>
  <si>
    <t>TAPL.4500</t>
  </si>
  <si>
    <t>TAPL.4800</t>
  </si>
  <si>
    <t>TAPL.5120</t>
  </si>
  <si>
    <t>TAPL.5400</t>
  </si>
  <si>
    <t>TAPL.6000</t>
  </si>
  <si>
    <t>TAPL.6010</t>
  </si>
  <si>
    <t>TAPL.8000</t>
  </si>
  <si>
    <t>TAPL.4550</t>
  </si>
  <si>
    <t>TAPL.4600</t>
  </si>
  <si>
    <t>TAPL.5000</t>
  </si>
  <si>
    <t>TAPL.5130</t>
  </si>
  <si>
    <t>TAPL.5600</t>
  </si>
  <si>
    <t>TAPL.6015</t>
  </si>
  <si>
    <t>TAPL.6500</t>
  </si>
  <si>
    <t>TAPL.7800</t>
  </si>
  <si>
    <t>TAPL.7950</t>
  </si>
  <si>
    <t>TAPL.8010</t>
  </si>
  <si>
    <t>TAPL.8020</t>
  </si>
  <si>
    <t xml:space="preserve">NET PROFIT &amp; LOSS  </t>
  </si>
  <si>
    <t>TAWARRUQ - PRINCIPAL</t>
  </si>
  <si>
    <t>TAWARRUQ - PRFT RECEIVABLE</t>
  </si>
  <si>
    <t>TAWARRUQ - OVERDUE PRINCIPAL</t>
  </si>
  <si>
    <t>TAWARRUQ - OVERDUE PRFT RECEIVABLE</t>
  </si>
  <si>
    <t>IJARAH - PRINCIPAL</t>
  </si>
  <si>
    <t>IJARAH - OVERDUE PRINCIPAL</t>
  </si>
  <si>
    <t>IJARAH - PRFT RECEIVABLE</t>
  </si>
  <si>
    <t>IJARAH - OVERDUE PRFT RECEIVABLE</t>
  </si>
  <si>
    <t>MURABAHA - PRINCIPAL</t>
  </si>
  <si>
    <t>MURABAHA - OVERDUE PRINCIPAL</t>
  </si>
  <si>
    <t>MURABAHA - PRFT RECEIVABLE</t>
  </si>
  <si>
    <t>MURABAHA - OVERDUE PRFT RECEIVABLE</t>
  </si>
  <si>
    <t>RELATED ASSETS</t>
  </si>
  <si>
    <t>IJARAH - UNEARNED INC</t>
  </si>
  <si>
    <t>MURABAHA - UNEARNED INC</t>
  </si>
  <si>
    <t>TAWARRUQ - UNEARNED INCOME</t>
  </si>
  <si>
    <t>TOT - RELATED ASSETS</t>
  </si>
  <si>
    <t>ADMIN FEE - TAWARRUQ</t>
  </si>
  <si>
    <t>ADMIN FEE - IJARAH</t>
  </si>
  <si>
    <t>ADMIN FEE - MURABAHA</t>
  </si>
  <si>
    <t>BROKER &amp; VENDOR SETTLEMENT ACCOUNT</t>
  </si>
  <si>
    <t>SADAD PAYABLE</t>
  </si>
  <si>
    <t>API COST PAYABLE</t>
  </si>
  <si>
    <t>TOT - API COST PAYABLE</t>
  </si>
  <si>
    <t>API COST PAYABLE - QARAR</t>
  </si>
  <si>
    <t>API COST PAYABLE - LEAN</t>
  </si>
  <si>
    <t>API COST PAYABLE - SAP</t>
  </si>
  <si>
    <t>API COST PAYABLE - NAFITH</t>
  </si>
  <si>
    <t>API COST PAYABLE - EMDAH</t>
  </si>
  <si>
    <t>API COST PAYABLE - TAMEENI</t>
  </si>
  <si>
    <t>API COST PAYABLE - TAWTHEEQ</t>
  </si>
  <si>
    <t>API COST PAYABLE - ELM - YAKEEN</t>
  </si>
  <si>
    <t>API COST PAYABLE - ELM - NAFITH</t>
  </si>
  <si>
    <t>API COST PAYABLE - ELM - TAHQOOQ</t>
  </si>
  <si>
    <t>API COST PAYABLE - UNIFONIC - IVR</t>
  </si>
  <si>
    <t>API COST PAYABLE - UNIFONIC - SMS</t>
  </si>
  <si>
    <t>API COST PAYABLE - ROSOM</t>
  </si>
  <si>
    <t>API COST PAYABLE - RESAL</t>
  </si>
  <si>
    <t>API COST PAYABLE - SIMAH - UPLOAD</t>
  </si>
  <si>
    <t>API COST PAYABLE - SIMAH - DOWNLOAD</t>
  </si>
  <si>
    <t>API COST PAYABLE - FAJR</t>
  </si>
  <si>
    <t>API COST PAYABLE - BENCHMARK</t>
  </si>
  <si>
    <t>AC::AC</t>
  </si>
  <si>
    <t>3114::3114</t>
  </si>
  <si>
    <t>CURACCOUNT::DUEACCOUNT</t>
  </si>
  <si>
    <t>AC::AC::AC::AC::AC::AC::AC</t>
  </si>
  <si>
    <t>3114::3114::3114::3114::3114::3114::3114</t>
  </si>
  <si>
    <t>S01ACCOUNT::S2AACCOUNT::S2BACCOUNT::S3AACCOUNT::S3BACCOUNT::S4AACCOUNT::S4BACCOUNT</t>
  </si>
  <si>
    <t>RECDEFERREDPFT::DUEDEFERREDPFT</t>
  </si>
  <si>
    <t>AC::AC::AC::AC::AC::AC::AC::AC</t>
  </si>
  <si>
    <t>3114::3114::3114::3114::3114::3114::3114::3114</t>
  </si>
  <si>
    <t>ACCDEFERREDPFT</t>
  </si>
  <si>
    <t>TAWARRUQ - SUSPENDED PROFIT</t>
  </si>
  <si>
    <t>S01DEFERREDPFT::S2ADEFERREDPFT::S2BDEFERREDPFT::S3ADEFERREDPFT::S3BDEFERREDPFT::S4ADEFERREDPFT::S4BDEFERREDPFT</t>
  </si>
  <si>
    <t>IJARAH - SUSPENDED PROFIT</t>
  </si>
  <si>
    <t>3116::3116</t>
  </si>
  <si>
    <t>3116::3116::3116::3116::3116::3116::3116</t>
  </si>
  <si>
    <t>3116::3116::3116::3116::3116::3116::3116::3116</t>
  </si>
  <si>
    <t>MURABAHA - SUSPENDED PROFIT</t>
  </si>
  <si>
    <t>3115::3115</t>
  </si>
  <si>
    <t>3115::3115::3115::3115::3115::3115::3115</t>
  </si>
  <si>
    <t>3115::3115::3115::3115::3115::3115::3115::3115</t>
  </si>
  <si>
    <t>UNEARNED ADMIN FEE - TAWARUQ</t>
  </si>
  <si>
    <t>UNEARNED ADMIN FEE - IJARAH</t>
  </si>
  <si>
    <t>UNEARNED ADMIN FEE - MURABAHA</t>
  </si>
  <si>
    <t>ACCADMINFEEUP</t>
  </si>
  <si>
    <t>ADMIN FEE  RECEIVABLE</t>
  </si>
  <si>
    <t>TOT - ADMIN FEE  RECEIVABLE</t>
  </si>
  <si>
    <t>DUEDELAYTRANSFER::S01DELAYTRANSFER::S2ADELAYTRANSFER::S2BDELAYTRANSFER::S3ADELAYTRANSFER::S3BDELAYTRANSFER::S4ADELAYTRANSFER::S4BDELAYTRANSFER</t>
  </si>
  <si>
    <t>DUEREGRENEWALFEE::S01REGRENEWALFEE::S2AREGRENEWALFEE::S2BREGRENEWALFEE::S3AREGRENEWALFEE::S3BREGRENEWALFEE::S4AREGRENEWALFEE</t>
  </si>
  <si>
    <t>DUEREPOCHARGE::S01REPOCHARGE::S2AREPOCHARGE::S2BREPOCHARGE::S3AREPOCHARGE::S3BREPOCHARGE::S4AREPOCHARGE</t>
  </si>
  <si>
    <t>REPOSSESSION FEE</t>
  </si>
  <si>
    <t>OTHER IJARAH FEE RECEIVABLE</t>
  </si>
  <si>
    <t>TOT - OTHER IJARAH FEE RECEIVABLE</t>
  </si>
  <si>
    <t>UNEARNED ADMIN FEE</t>
  </si>
  <si>
    <t>TOT- UNEARNED ADMIN FEE</t>
  </si>
  <si>
    <t>DISCOUNT FROM VENDOR - IJARAH</t>
  </si>
  <si>
    <t>DISCOUNT FROM VENDOR - MURABAHA</t>
  </si>
  <si>
    <t>ACCVENDISCOUNT</t>
  </si>
  <si>
    <t>TOT - VAT ASSET</t>
  </si>
  <si>
    <t>VAT RECEIVABLE - TAWARRUQ</t>
  </si>
  <si>
    <t>VAT RECEIVABLE - IJARAH</t>
  </si>
  <si>
    <t>VAT RECEIVABLE - MURABAHA</t>
  </si>
  <si>
    <t>INSURANCE RECEIVABLE - IJARAH</t>
  </si>
  <si>
    <t>PREPAID INSURANCE</t>
  </si>
  <si>
    <t>RECEIVABLES &amp; OTHER ASSETS</t>
  </si>
  <si>
    <t>OTHER ASSETS</t>
  </si>
  <si>
    <t>TOT - OTHER ASSET</t>
  </si>
  <si>
    <t>TOT - RECEIVABLES &amp; OTHER ASSETS</t>
  </si>
  <si>
    <t>ACCINSCOST</t>
  </si>
  <si>
    <t>ACCINSREVENUE::DUEINSREVENUE::S01INSREVENUE::S2AINSREVENUE::S2BINSREVENUE::S3AINSREVENUE::S3BINSREVENUE::S4AINSREVENUE</t>
  </si>
  <si>
    <t>DUEVAT::S01VAT::S2AVAT::S2BVAT::S3AVAT::S3BVAT::S4AVAT::S4BVAT</t>
  </si>
  <si>
    <t>OTHER RECEIVABLE FROM CUSTOMER</t>
  </si>
  <si>
    <t>VENDOR PAYABLE</t>
  </si>
  <si>
    <t>TAKAFUL CLAIM PAYABLE - ASSETS</t>
  </si>
  <si>
    <t>TAKAFUL CLAIM PAYABLE - LIFE</t>
  </si>
  <si>
    <t>TOT- VAT PAYBALE</t>
  </si>
  <si>
    <t>TOT - DISCOUNT FROM VENDOR</t>
  </si>
  <si>
    <t>TOT - IJARAH FINANICNG</t>
  </si>
  <si>
    <t>TOT - MURABAHA FINANCING</t>
  </si>
  <si>
    <t>TAPL.4140</t>
  </si>
  <si>
    <t>TAPL.4150</t>
  </si>
  <si>
    <t>SADAD FEE</t>
  </si>
  <si>
    <t>TAPL.0040</t>
  </si>
  <si>
    <t>TAPL.0050</t>
  </si>
  <si>
    <t>UPFRONT ADMIN FEE - TAWARRUQ</t>
  </si>
  <si>
    <t>UPFRONT ADMIN FEE - MURABAHA</t>
  </si>
  <si>
    <t>UPFRONT ADMIN FEE - IJARAH</t>
  </si>
  <si>
    <t xml:space="preserve">UPFRONT ADMIN FEE </t>
  </si>
  <si>
    <t>TOT - UPFRONT ADMIN FEE</t>
  </si>
  <si>
    <t xml:space="preserve">SCHEDULED ADMIN FEE </t>
  </si>
  <si>
    <t>SCHDLD ADMIN FEE - TAWARRUQ</t>
  </si>
  <si>
    <t>SCHDLD ADMIN FEE - MURABAHA</t>
  </si>
  <si>
    <t>SCHDLD ADMIN FEE - IJARAH</t>
  </si>
  <si>
    <t xml:space="preserve">TOT - SCHEDULED ADMIN FEE </t>
  </si>
  <si>
    <t>PROFIT ON TAWARRUQ</t>
  </si>
  <si>
    <t>PROFIT ON MURABAHA</t>
  </si>
  <si>
    <t>PROFIT ON IJARAH</t>
  </si>
  <si>
    <t>SUSPENDED PROFIT - TAWARRUQ</t>
  </si>
  <si>
    <t>SUSPENDED PROFIT - MURABAHA</t>
  </si>
  <si>
    <t>SUSPENDED PROFIT - IJARAH</t>
  </si>
  <si>
    <t>SUSPENDED PFT - RET FINANCING</t>
  </si>
  <si>
    <t>TOT - SUSPENDED PFT - RET FINANCING</t>
  </si>
  <si>
    <t>REVENUE</t>
  </si>
  <si>
    <t>GENERAL API EXPENSE</t>
  </si>
  <si>
    <t>TOT - GENERAL API EXPENSE</t>
  </si>
  <si>
    <t>TAWARRUQ - EMDAH</t>
  </si>
  <si>
    <t>TAWARRUQ - IVR</t>
  </si>
  <si>
    <t>TAWARRUQ - SMS</t>
  </si>
  <si>
    <t>TAWARRUQ - QARAR CHARGES</t>
  </si>
  <si>
    <t>TAWARRUQ - AML</t>
  </si>
  <si>
    <t>TAWARRUQ - IBAN VERIFICATION</t>
  </si>
  <si>
    <t>TAWARRUQ - COMMODITY BROKER</t>
  </si>
  <si>
    <t>TAWARRUQ - SIMRAH UPLOAD</t>
  </si>
  <si>
    <t>TAWARRUQ - SIMRAH DOWNLOAD</t>
  </si>
  <si>
    <t>TAWARRUQ - NAFITH</t>
  </si>
  <si>
    <t>MURABAHA - EMDAH</t>
  </si>
  <si>
    <t>MURABAHA - IVR</t>
  </si>
  <si>
    <t>MURABAHA - SMS</t>
  </si>
  <si>
    <t>MURABAHA - QARAR CHARGES</t>
  </si>
  <si>
    <t>MURABAHA - AML</t>
  </si>
  <si>
    <t>MURABAHA - IBAN VERIFICATION</t>
  </si>
  <si>
    <t>MURABAHA - VOUCHER PROVIDER</t>
  </si>
  <si>
    <t>MURABAHA - SIMRAH UPLOAD</t>
  </si>
  <si>
    <t>MURABAHA - SIMRAH DOWNLOAD</t>
  </si>
  <si>
    <t>MURABAHA - NAFITH</t>
  </si>
  <si>
    <t>IJARAH - EMDAH</t>
  </si>
  <si>
    <t>IJARAH - IVR</t>
  </si>
  <si>
    <t>IJARAH - SMS</t>
  </si>
  <si>
    <t>IJARAH - TAMEEMI</t>
  </si>
  <si>
    <t>IJARAH - QARAR CHARGES</t>
  </si>
  <si>
    <t>IJARAH - AML</t>
  </si>
  <si>
    <t>IJARAH - IBAN VERIFICATION</t>
  </si>
  <si>
    <t>IJARAH - TAWTHEEQH</t>
  </si>
  <si>
    <t>IJARAH - SIMRAH UPLOAD</t>
  </si>
  <si>
    <t>IJARAH - SIMRAH DOWNLOAD</t>
  </si>
  <si>
    <t>IJARAH - NAFITH</t>
  </si>
  <si>
    <t>TAWARRUQ API EXPENSE</t>
  </si>
  <si>
    <t>TOT - TAWARRUQ API EXPENSE</t>
  </si>
  <si>
    <t>MURABAHA API EXPENSE</t>
  </si>
  <si>
    <t>TOT - MURABAHA API EXPENSE</t>
  </si>
  <si>
    <t>IJARAH API EXPENSE</t>
  </si>
  <si>
    <t>TOT - IJARAH API EXPENSE</t>
  </si>
  <si>
    <t>TOT - API EXPENSES</t>
  </si>
  <si>
    <t>1.2.1.1.3</t>
  </si>
  <si>
    <t>1.2.1.1.4</t>
  </si>
  <si>
    <t>1.2.1.1.5</t>
  </si>
  <si>
    <t>1.2.1.1.6</t>
  </si>
  <si>
    <t>TOT - TAWARRUQ FINANCING</t>
  </si>
  <si>
    <t>1.2.1.2.3</t>
  </si>
  <si>
    <t>1.2.1.2.4</t>
  </si>
  <si>
    <t>1.2.1.2.5</t>
  </si>
  <si>
    <t>1.2.1.2.6</t>
  </si>
  <si>
    <t>1.2.1.3.3</t>
  </si>
  <si>
    <t>1.2.1.3.4</t>
  </si>
  <si>
    <t>1.2.1.3.5</t>
  </si>
  <si>
    <t>1.2.1.3.6</t>
  </si>
  <si>
    <t>1.3.1</t>
  </si>
  <si>
    <t>1.3.1.2</t>
  </si>
  <si>
    <t>1.3.2</t>
  </si>
  <si>
    <t>1.3.2.1</t>
  </si>
  <si>
    <t>1.3.2.2</t>
  </si>
  <si>
    <t>1.3.2.3</t>
  </si>
  <si>
    <t>1.3.2.4</t>
  </si>
  <si>
    <t>1.3.3</t>
  </si>
  <si>
    <t>1.3.3.1</t>
  </si>
  <si>
    <t>1.3.3.2</t>
  </si>
  <si>
    <t>1.3.3.3</t>
  </si>
  <si>
    <t>1.3.3.4</t>
  </si>
  <si>
    <t>1.3.4</t>
  </si>
  <si>
    <t>1.3.4.1</t>
  </si>
  <si>
    <t>1.3.5</t>
  </si>
  <si>
    <t>1.3.5.1</t>
  </si>
  <si>
    <t>3.1.3</t>
  </si>
  <si>
    <t>3.2.3</t>
  </si>
  <si>
    <t>3.2.5</t>
  </si>
  <si>
    <t>3.2.6</t>
  </si>
  <si>
    <t>3.4.2</t>
  </si>
  <si>
    <t>3.5.1</t>
  </si>
  <si>
    <t>3.6.1</t>
  </si>
  <si>
    <t>3.6.2</t>
  </si>
  <si>
    <t>3.6.3</t>
  </si>
  <si>
    <t>3.6.4</t>
  </si>
  <si>
    <t>3.6.5</t>
  </si>
  <si>
    <t>3.6.6</t>
  </si>
  <si>
    <t>3.6.7</t>
  </si>
  <si>
    <t>0270</t>
  </si>
  <si>
    <t>0280</t>
  </si>
  <si>
    <t>0290</t>
  </si>
  <si>
    <t>0310</t>
  </si>
  <si>
    <t>TABS.0390</t>
  </si>
  <si>
    <t>0430</t>
  </si>
  <si>
    <t>0440</t>
  </si>
  <si>
    <t>0450</t>
  </si>
  <si>
    <t>0460</t>
  </si>
  <si>
    <t>TABS.0430</t>
  </si>
  <si>
    <t>TABS.0440</t>
  </si>
  <si>
    <t>TABS.0450</t>
  </si>
  <si>
    <t>TABS.0460</t>
  </si>
  <si>
    <t>TABS.0730</t>
  </si>
  <si>
    <t>TABS.0750</t>
  </si>
  <si>
    <t>TABS.0770</t>
  </si>
  <si>
    <t>TABS.0790</t>
  </si>
  <si>
    <t>TABS.1360</t>
  </si>
  <si>
    <t>TABS.1370</t>
  </si>
  <si>
    <t>TABS.1380</t>
  </si>
  <si>
    <t>TABS.1450</t>
  </si>
  <si>
    <t>TABS.1470</t>
  </si>
  <si>
    <t>TABS.1500</t>
  </si>
  <si>
    <t>TABS.1510</t>
  </si>
  <si>
    <t>TABS.1520</t>
  </si>
  <si>
    <t>TABS.1530</t>
  </si>
  <si>
    <t>TABS.1600</t>
  </si>
  <si>
    <t>TABS.1620</t>
  </si>
  <si>
    <t>TABS.1630</t>
  </si>
  <si>
    <t>TABS.1640</t>
  </si>
  <si>
    <t>TABS.1650</t>
  </si>
  <si>
    <t>TABS.1660</t>
  </si>
  <si>
    <t>TABS.1700</t>
  </si>
  <si>
    <t>TABS.1750</t>
  </si>
  <si>
    <t>TABS.1760</t>
  </si>
  <si>
    <t>TABS.1800</t>
  </si>
  <si>
    <t>TABS.1900</t>
  </si>
  <si>
    <t>TABS.1910</t>
  </si>
  <si>
    <t>TABS.6130</t>
  </si>
  <si>
    <t>TABS.8000</t>
  </si>
  <si>
    <t>TABS.8010</t>
  </si>
  <si>
    <t>TABS.8020</t>
  </si>
  <si>
    <t>TABS.8030</t>
  </si>
  <si>
    <t>TABS.8040</t>
  </si>
  <si>
    <t>TABS.8050</t>
  </si>
  <si>
    <t>TABS.8060</t>
  </si>
  <si>
    <t>TABS.8070</t>
  </si>
  <si>
    <t>TABS.8300</t>
  </si>
  <si>
    <t>TABS.7700</t>
  </si>
  <si>
    <t>TABS.7710</t>
  </si>
  <si>
    <t>TABS.7720</t>
  </si>
  <si>
    <t>TABS.7800</t>
  </si>
  <si>
    <t>TOT - OTHER REC FROM CUSTOMER</t>
  </si>
  <si>
    <t>1.1.1.3</t>
  </si>
  <si>
    <t>1.1.2</t>
  </si>
  <si>
    <t>1.1.2.1</t>
  </si>
  <si>
    <t>1.1.2.2</t>
  </si>
  <si>
    <t>1.1.2.3</t>
  </si>
  <si>
    <t>1.2.3</t>
  </si>
  <si>
    <t>2.1.1.4</t>
  </si>
  <si>
    <t>2.1.1.5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</si>
  <si>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</si>
  <si>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</si>
  <si>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</si>
  <si>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</si>
  <si>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</si>
  <si>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</si>
  <si>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</si>
  <si>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</si>
  <si>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</si>
  <si>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</si>
  <si>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2.2.1</t>
  </si>
  <si>
    <t>TAPL.0010</t>
  </si>
  <si>
    <t>TAPL.0020</t>
  </si>
  <si>
    <t>TAPL.0021</t>
  </si>
  <si>
    <t>TAPL.0500</t>
  </si>
  <si>
    <t>TAPL.1500</t>
  </si>
  <si>
    <t>TAPL.1510</t>
  </si>
  <si>
    <t>TAPL.1530</t>
  </si>
  <si>
    <t>TAPL.1550</t>
  </si>
  <si>
    <t>TAPL.1570</t>
  </si>
  <si>
    <t>TAPL.1590</t>
  </si>
  <si>
    <t>TAPL.1610</t>
  </si>
  <si>
    <t>TAPL.1620</t>
  </si>
  <si>
    <t>TAPL.1640</t>
  </si>
  <si>
    <t>TAPL.1700</t>
  </si>
  <si>
    <t>TAPL.2000</t>
  </si>
  <si>
    <t>TAPL.4000</t>
  </si>
  <si>
    <t>TAPL.4010</t>
  </si>
  <si>
    <t>TAPL.4050</t>
  </si>
  <si>
    <t>TAPL.0030</t>
  </si>
  <si>
    <t>TAPL.0501</t>
  </si>
  <si>
    <t>TAPL.0505</t>
  </si>
  <si>
    <t>TAPL.0510</t>
  </si>
  <si>
    <t>TAPL.0515</t>
  </si>
  <si>
    <t>TAPL.0700</t>
  </si>
  <si>
    <t>TAPL.1630</t>
  </si>
  <si>
    <t>TAPL.1900</t>
  </si>
  <si>
    <t>TAPL.1910</t>
  </si>
  <si>
    <t>TAPL.1920</t>
  </si>
  <si>
    <t>TAPL.1930</t>
  </si>
  <si>
    <t>TAPL.1940</t>
  </si>
  <si>
    <t>TAPL.1950</t>
  </si>
  <si>
    <t>TAPL.1960</t>
  </si>
  <si>
    <t>TAPL.1970</t>
  </si>
  <si>
    <t>TAPL.1980</t>
  </si>
  <si>
    <t>TAPL.1990</t>
  </si>
  <si>
    <t>TAPL.2200</t>
  </si>
  <si>
    <t>ASSET1</t>
  </si>
  <si>
    <t>ASSET.TYPE</t>
  </si>
  <si>
    <t>CURBALANCE::CREDIT</t>
  </si>
  <si>
    <t>1342::1342</t>
  </si>
  <si>
    <t>1343::1343</t>
  </si>
  <si>
    <t>CREDIT</t>
  </si>
  <si>
    <t>DEBIT</t>
  </si>
  <si>
    <t>ASSET.APPLIC.ID</t>
  </si>
  <si>
    <t>DUETRAFFICFEE::S01TRAFFICFEE::S2ATRAFFICFEE::S2BTRAFFICFEE::S3ATRAFFICFEE::S3BTRAFFICFEE::S4ATRAFFICFEE</t>
  </si>
  <si>
    <t>SAP GL CODE</t>
  </si>
  <si>
    <t>DESCRIPTION</t>
  </si>
  <si>
    <t>IJARAH - ROSOM</t>
  </si>
  <si>
    <t>MURABAHA - ROSOM</t>
  </si>
  <si>
    <t>TAWARRUQ - ROSOM</t>
  </si>
  <si>
    <t>ROSOM FEE</t>
  </si>
  <si>
    <t>Liability</t>
  </si>
  <si>
    <t>3114::3114::3114::3114::3114::3114::3114::3114::3114</t>
  </si>
  <si>
    <t>3116::3116::3116::3116::3116::3116::3116::3116::3116</t>
  </si>
  <si>
    <t>3115::3115::3115::3115::3115::3115::3115::3115::3115</t>
  </si>
  <si>
    <t>DUEADMINFEESCH::S01ADMINFEESCH::S2AADMINFEESCH::S2BADMINFEESCH::S3AADMINFEESCH::S3BADMINFEESCH::S4AADMINFEESCH::S4BADMINFEESCH::DUEADMINFEEUP</t>
  </si>
  <si>
    <t>Add Due Pay off fee in COA</t>
  </si>
  <si>
    <t>Add Pay BONUS off fee in COA</t>
  </si>
  <si>
    <t>TABS.8080</t>
  </si>
  <si>
    <t>REBATE PAYABLE</t>
  </si>
  <si>
    <t>AC::AC::AC</t>
  </si>
  <si>
    <t>3114::3115::3116</t>
  </si>
  <si>
    <t>PAYISBONUS::PAYISBONUS::PAYISBONUS</t>
  </si>
  <si>
    <t>TABS.1920</t>
  </si>
  <si>
    <t>EARLY STLMNT FEE RECEIVABLE</t>
  </si>
  <si>
    <t>3116::3114::3115</t>
  </si>
  <si>
    <t>DUEPAYOFFFEE::DUEPAYOFFFEE::DUEPAYOFFFEE</t>
  </si>
  <si>
    <t>TABS.8090</t>
  </si>
  <si>
    <t>CASHBACK TO CUSTOMER</t>
  </si>
  <si>
    <t>PAYCASHBACK</t>
  </si>
  <si>
    <t>2.1.1.6</t>
  </si>
  <si>
    <t>TAPL.4160</t>
  </si>
  <si>
    <t>MARKETING EXPENSE</t>
  </si>
  <si>
    <t>SPDUEDEFERREDPFT::SPS01DEFERREDPFT::SPS2ADEFERREDPFT::SPS2BDEFERREDPFT::SPS3ADEFERREDPFT::SPS3BDEFERREDPFT::SPS4ADEFERREDPFT::SPS4BDEFERREDPFT::SPACCDEFERREDPFT</t>
  </si>
  <si>
    <t>AC::AC::AC::AC::AC::AC::AC::AC::AC</t>
  </si>
  <si>
    <t>TABS.1925</t>
  </si>
  <si>
    <t>PARTIAL STLMNT FEE RECEIVABLE</t>
  </si>
  <si>
    <t>DUEPARTIALSETLFEE::DUEPARTIALSETLFEE::DUEPARTIALSETLFEE</t>
  </si>
  <si>
    <t>0315</t>
  </si>
  <si>
    <t>TAWARRUQ - PROVISION FOR ECL</t>
  </si>
  <si>
    <t>0465</t>
  </si>
  <si>
    <t>IJARAH - PROVISION FOR ECL</t>
  </si>
  <si>
    <t>0775</t>
  </si>
  <si>
    <t>MURABAHA - PROVISION FOR ECL</t>
  </si>
  <si>
    <t>MDMC ROUTING ACCOUNT</t>
  </si>
  <si>
    <t>DISCOUNT ON INSTALLMENT PAYABLE</t>
  </si>
  <si>
    <t>PL::PL</t>
  </si>
  <si>
    <t>52175::52680</t>
  </si>
  <si>
    <t>TAPL.2210</t>
  </si>
  <si>
    <t>WRITE OFF EXPENSE RECOVERED</t>
  </si>
  <si>
    <t>WRITE OFF RECOVERED - PRINCIPAL</t>
  </si>
  <si>
    <t>WRITE OFF RECOVERED - PROFIT</t>
  </si>
  <si>
    <t>WRITE OFF RECOVERED - CHARGS</t>
  </si>
  <si>
    <t>WRITE OFF RECOVERED - VAT</t>
  </si>
  <si>
    <t>TOT - WRITE OFF EXPENSE RECOVERED</t>
  </si>
  <si>
    <t>TAPL.2300</t>
  </si>
  <si>
    <t>TABS.0260</t>
  </si>
  <si>
    <t>TABS.0270</t>
  </si>
  <si>
    <t>TABS.0280</t>
  </si>
  <si>
    <t>TABS.0290</t>
  </si>
  <si>
    <t>TABS.0300</t>
  </si>
  <si>
    <t>TABS.0310</t>
  </si>
  <si>
    <t>TABS.0315</t>
  </si>
  <si>
    <t>TABS.0465</t>
  </si>
  <si>
    <t>TABS.0775</t>
  </si>
  <si>
    <t>TABS.1930</t>
  </si>
  <si>
    <t>TABS.1935</t>
  </si>
  <si>
    <t>TABS.8095</t>
  </si>
  <si>
    <t>Nostro GLs already Provided</t>
  </si>
  <si>
    <t>GL for Customer</t>
  </si>
  <si>
    <t>Internal Account | No Customer required</t>
  </si>
  <si>
    <t>GL not Required</t>
  </si>
  <si>
    <t>Internal Account | No Customer required - Equity</t>
  </si>
  <si>
    <t>Asset</t>
  </si>
  <si>
    <t>Asset / Liability</t>
  </si>
  <si>
    <t>GL for Vendor</t>
  </si>
  <si>
    <t>TAPL.2220</t>
  </si>
  <si>
    <t>TAPL.2230</t>
  </si>
  <si>
    <t>TAPL.2240</t>
  </si>
  <si>
    <t>TAPL.2250</t>
  </si>
  <si>
    <t>NATURE OF GL</t>
  </si>
  <si>
    <t>REMARKS</t>
  </si>
  <si>
    <t xml:space="preserve">DESCRIPTION </t>
  </si>
  <si>
    <t>INCOME</t>
  </si>
  <si>
    <t>EXPENSE</t>
  </si>
  <si>
    <t>NO GL REQUIRED</t>
  </si>
  <si>
    <t xml:space="preserve">New </t>
  </si>
  <si>
    <t xml:space="preserve">Existing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</si>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</sst>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mbria"/>
      <family val="1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3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Border="1"/>
    <xf numFmtId="0" fontId="2" fillId="3" borderId="7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2" fillId="0" borderId="0" xfId="0" applyFont="1"/>
    <xf numFmtId="0" fontId="4" fillId="0" borderId="0" xfId="0" applyFont="1"/>
    <xf numFmtId="0" fontId="4" fillId="4" borderId="8" xfId="0" applyFont="1" applyFill="1" applyBorder="1"/>
    <xf numFmtId="0" fontId="2" fillId="2" borderId="2" xfId="0" applyFont="1" applyFill="1" applyBorder="1"/>
    <xf numFmtId="0" fontId="4" fillId="4" borderId="5" xfId="0" quotePrefix="1" applyFont="1" applyFill="1" applyBorder="1"/>
    <xf numFmtId="164" fontId="2" fillId="3" borderId="2" xfId="0" quotePrefix="1" applyNumberFormat="1" applyFont="1" applyFill="1" applyBorder="1"/>
    <xf numFmtId="0" fontId="2" fillId="2" borderId="2" xfId="0" quotePrefix="1" applyFont="1" applyFill="1" applyBorder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0" xfId="3" applyFont="1" applyFill="1"/>
    <xf numFmtId="0" fontId="2" fillId="0" borderId="2" xfId="0" quotePrefix="1" applyFont="1" applyBorder="1"/>
    <xf numFmtId="16" fontId="3" fillId="0" borderId="0" xfId="3" applyNumberFormat="1" applyFont="1" applyFill="1"/>
    <xf numFmtId="0" fontId="2" fillId="0" borderId="1" xfId="0" applyFont="1" applyBorder="1" applyAlignment="1">
      <alignment horizontal="left" wrapText="1"/>
    </xf>
    <xf numFmtId="0" fontId="2" fillId="3" borderId="13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3" fillId="0" borderId="1" xfId="0" applyFont="1" applyBorder="1"/>
    <xf numFmtId="0" fontId="4" fillId="4" borderId="15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2" fillId="0" borderId="13" xfId="0" applyFont="1" applyBorder="1"/>
    <xf numFmtId="0" fontId="4" fillId="4" borderId="1" xfId="0" applyFont="1" applyFill="1" applyBorder="1"/>
    <xf numFmtId="0" fontId="2" fillId="0" borderId="1" xfId="0" quotePrefix="1" applyFont="1" applyBorder="1"/>
    <xf numFmtId="0" fontId="3" fillId="5" borderId="16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2" xfId="0" quotePrefix="1" applyFont="1" applyFill="1" applyBorder="1"/>
    <xf numFmtId="0" fontId="2" fillId="5" borderId="1" xfId="0" quotePrefix="1" applyFont="1" applyFill="1" applyBorder="1"/>
    <xf numFmtId="0" fontId="2" fillId="5" borderId="7" xfId="0" applyFont="1" applyFill="1" applyBorder="1"/>
    <xf numFmtId="0" fontId="3" fillId="5" borderId="0" xfId="0" applyFont="1" applyFill="1"/>
    <xf numFmtId="0" fontId="2" fillId="3" borderId="1" xfId="0" quotePrefix="1" applyFont="1" applyFill="1" applyBorder="1"/>
    <xf numFmtId="0" fontId="3" fillId="3" borderId="16" xfId="0" applyFont="1" applyFill="1" applyBorder="1" applyAlignment="1">
      <alignment horizontal="left"/>
    </xf>
    <xf numFmtId="0" fontId="2" fillId="3" borderId="2" xfId="0" quotePrefix="1" applyFont="1" applyFill="1" applyBorder="1"/>
    <xf numFmtId="0" fontId="4" fillId="3" borderId="1" xfId="0" quotePrefix="1" applyFont="1" applyFill="1" applyBorder="1" applyAlignment="1">
      <alignment horizontal="left" vertical="top"/>
    </xf>
    <xf numFmtId="0" fontId="3" fillId="3" borderId="0" xfId="0" applyFont="1" applyFill="1"/>
    <xf numFmtId="0" fontId="3" fillId="3" borderId="17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4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5" borderId="1" xfId="0" quotePrefix="1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0" xfId="0" quotePrefix="1" applyFont="1" applyFill="1" applyAlignment="1">
      <alignment horizontal="left" vertical="top"/>
    </xf>
    <xf numFmtId="0" fontId="2" fillId="3" borderId="11" xfId="0" applyFont="1" applyFill="1" applyBorder="1"/>
    <xf numFmtId="0" fontId="2" fillId="3" borderId="14" xfId="0" applyFont="1" applyFill="1" applyBorder="1"/>
    <xf numFmtId="0" fontId="2" fillId="3" borderId="14" xfId="0" quotePrefix="1" applyFont="1" applyFill="1" applyBorder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4" fillId="3" borderId="9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3" fillId="2" borderId="1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/>
    <xf numFmtId="0" fontId="2" fillId="2" borderId="1" xfId="0" applyFont="1" applyFill="1" applyBorder="1" applyAlignment="1">
      <alignment horizontal="left" wrapText="1"/>
    </xf>
    <xf numFmtId="0" fontId="3" fillId="2" borderId="18" xfId="0" applyFont="1" applyFill="1" applyBorder="1" applyAlignment="1">
      <alignment horizontal="left"/>
    </xf>
    <xf numFmtId="0" fontId="2" fillId="2" borderId="11" xfId="0" applyFont="1" applyFill="1" applyBorder="1"/>
    <xf numFmtId="0" fontId="2" fillId="2" borderId="12" xfId="0" applyFont="1" applyFill="1" applyBorder="1"/>
    <xf numFmtId="43" fontId="3" fillId="0" borderId="1" xfId="3" applyFont="1" applyFill="1" applyBorder="1"/>
    <xf numFmtId="164" fontId="2" fillId="0" borderId="2" xfId="0" quotePrefix="1" applyNumberFormat="1" applyFont="1" applyBorder="1"/>
    <xf numFmtId="43" fontId="3" fillId="2" borderId="0" xfId="3" applyFont="1" applyFill="1"/>
    <xf numFmtId="16" fontId="3" fillId="2" borderId="0" xfId="3" applyNumberFormat="1" applyFont="1" applyFill="1"/>
    <xf numFmtId="0" fontId="2" fillId="2" borderId="14" xfId="0" applyFont="1" applyFill="1" applyBorder="1"/>
    <xf numFmtId="0" fontId="2" fillId="2" borderId="14" xfId="0" quotePrefix="1" applyFont="1" applyFill="1" applyBorder="1"/>
    <xf numFmtId="43" fontId="3" fillId="3" borderId="0" xfId="3" applyFont="1" applyFill="1"/>
    <xf numFmtId="16" fontId="3" fillId="3" borderId="0" xfId="3" applyNumberFormat="1" applyFont="1" applyFill="1"/>
    <xf numFmtId="0" fontId="2" fillId="3" borderId="16" xfId="0" applyFont="1" applyFill="1" applyBorder="1"/>
    <xf numFmtId="0" fontId="2" fillId="5" borderId="16" xfId="0" applyFont="1" applyFill="1" applyBorder="1"/>
    <xf numFmtId="0" fontId="2" fillId="2" borderId="16" xfId="0" applyFont="1" applyFill="1" applyBorder="1"/>
    <xf numFmtId="0" fontId="2" fillId="0" borderId="16" xfId="0" applyFont="1" applyBorder="1"/>
    <xf numFmtId="0" fontId="2" fillId="3" borderId="17" xfId="0" applyFont="1" applyFill="1" applyBorder="1"/>
    <xf numFmtId="0" fontId="2" fillId="2" borderId="18" xfId="0" applyFont="1" applyFill="1" applyBorder="1"/>
    <xf numFmtId="0" fontId="2" fillId="3" borderId="1" xfId="0" applyFont="1" applyFill="1" applyBorder="1" applyAlignment="1">
      <alignment horizontal="left" wrapText="1"/>
    </xf>
    <xf numFmtId="0" fontId="2" fillId="3" borderId="1" xfId="0" quotePrefix="1" applyFont="1" applyFill="1" applyBorder="1" applyAlignment="1">
      <alignment horizontal="left" vertical="top"/>
    </xf>
    <xf numFmtId="0" fontId="2" fillId="3" borderId="0" xfId="0" quotePrefix="1" applyFont="1" applyFill="1" applyAlignment="1">
      <alignment horizontal="left" vertical="top"/>
    </xf>
    <xf numFmtId="0" fontId="2" fillId="3" borderId="9" xfId="0" applyFont="1" applyFill="1" applyBorder="1" applyAlignment="1">
      <alignment horizontal="left" wrapText="1"/>
    </xf>
    <xf numFmtId="0" fontId="3" fillId="6" borderId="16" xfId="0" applyFont="1" applyFill="1" applyBorder="1" applyAlignment="1">
      <alignment horizontal="left"/>
    </xf>
    <xf numFmtId="0" fontId="2" fillId="6" borderId="1" xfId="0" applyFont="1" applyFill="1" applyBorder="1"/>
    <xf numFmtId="0" fontId="2" fillId="6" borderId="2" xfId="0" applyFont="1" applyFill="1" applyBorder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wrapText="1"/>
    </xf>
    <xf numFmtId="0" fontId="2" fillId="6" borderId="16" xfId="0" applyFont="1" applyFill="1" applyBorder="1"/>
    <xf numFmtId="0" fontId="2" fillId="6" borderId="7" xfId="0" applyFont="1" applyFill="1" applyBorder="1"/>
    <xf numFmtId="0" fontId="3" fillId="6" borderId="0" xfId="0" applyFont="1" applyFill="1"/>
    <xf numFmtId="43" fontId="3" fillId="6" borderId="0" xfId="3" applyFont="1" applyFill="1"/>
    <xf numFmtId="0" fontId="3" fillId="6" borderId="1" xfId="0" applyFont="1" applyFill="1" applyBorder="1" applyAlignment="1">
      <alignment horizontal="left"/>
    </xf>
    <xf numFmtId="0" fontId="2" fillId="6" borderId="2" xfId="0" quotePrefix="1" applyFont="1" applyFill="1" applyBorder="1"/>
    <xf numFmtId="0" fontId="2" fillId="6" borderId="0" xfId="0" applyFont="1" applyFill="1"/>
    <xf numFmtId="0" fontId="3" fillId="7" borderId="16" xfId="0" applyFont="1" applyFill="1" applyBorder="1" applyAlignment="1">
      <alignment horizontal="left"/>
    </xf>
    <xf numFmtId="0" fontId="2" fillId="7" borderId="1" xfId="0" applyFont="1" applyFill="1" applyBorder="1"/>
    <xf numFmtId="0" fontId="2" fillId="7" borderId="2" xfId="0" applyFont="1" applyFill="1" applyBorder="1"/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wrapText="1"/>
    </xf>
    <xf numFmtId="0" fontId="2" fillId="7" borderId="16" xfId="0" applyFont="1" applyFill="1" applyBorder="1"/>
    <xf numFmtId="0" fontId="2" fillId="7" borderId="7" xfId="0" applyFont="1" applyFill="1" applyBorder="1"/>
    <xf numFmtId="0" fontId="3" fillId="7" borderId="0" xfId="0" applyFont="1" applyFill="1"/>
    <xf numFmtId="43" fontId="3" fillId="7" borderId="0" xfId="3" applyFont="1" applyFill="1"/>
    <xf numFmtId="0" fontId="2" fillId="0" borderId="1" xfId="0" applyFont="1" applyBorder="1" applyAlignment="1">
      <alignment horizontal="right" wrapText="1"/>
    </xf>
    <xf numFmtId="0" fontId="2" fillId="8" borderId="1" xfId="0" applyFont="1" applyFill="1" applyBorder="1"/>
    <xf numFmtId="0" fontId="2" fillId="0" borderId="1" xfId="0" applyFont="1" applyBorder="1" applyAlignment="1">
      <alignment horizontal="right"/>
    </xf>
    <xf numFmtId="0" fontId="2" fillId="8" borderId="1" xfId="0" quotePrefix="1" applyFont="1" applyFill="1" applyBorder="1"/>
    <xf numFmtId="0" fontId="2" fillId="8" borderId="1" xfId="0" applyFont="1" applyFill="1" applyBorder="1" applyAlignment="1">
      <alignment horizontal="left" wrapText="1"/>
    </xf>
  </cellXfs>
  <cellStyles count="4">
    <cellStyle name="Comma" xfId="3" builtinId="3"/>
    <cellStyle name="Comma 2" xfId="2" xr:uid="{268749DE-31A8-4FD7-8B94-5003A90246A1}"/>
    <cellStyle name="Normal" xfId="0" builtinId="0"/>
    <cellStyle name="Normal 2" xfId="1" xr:uid="{C3945D5D-9F7C-4E7D-BF0E-7AC9779C233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dctech-my.sharepoint.com/Users/Administrator/AppData/Local/Microsoft/Windows/Temporary%20Internet%20Files/Content.Outlook/T15337AG/WS01-02-BANK_Customer_BPR_Reference_Sheet.V1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hsin\Projects\Bidaya%20Finance\Chart%20of%20Accounts\Revised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PI Dashboard"/>
      <sheetName val="Data Control Sheet"/>
      <sheetName val="Products"/>
      <sheetName val="Processes Details"/>
      <sheetName val="Deliverables Inventory"/>
      <sheetName val="Scoping Gaps"/>
      <sheetName val="Followup Sheet"/>
      <sheetName val="BRD DOC Details"/>
      <sheetName val="KPI Source 1"/>
      <sheetName val="KPI Source 2"/>
      <sheetName val="New Gaps"/>
      <sheetName val="BRD Planning Details"/>
      <sheetName val="FSD Doc Details"/>
      <sheetName val="Resource Attendees"/>
      <sheetName val="Drop Down Field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MUST Have</v>
          </cell>
        </row>
        <row r="16">
          <cell r="D16" t="str">
            <v>Not Started</v>
          </cell>
        </row>
        <row r="17">
          <cell r="D17" t="str">
            <v>In Progress</v>
          </cell>
        </row>
        <row r="18">
          <cell r="D18" t="str">
            <v>Completed</v>
          </cell>
        </row>
        <row r="19">
          <cell r="D19" t="str">
            <v>Deffered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on Dump"/>
      <sheetName val="Comparison"/>
      <sheetName val="T24 -PNL"/>
      <sheetName val="T24 -BS"/>
      <sheetName val="Personal Finance - TB"/>
      <sheetName val="Personal Finance - TB (2)"/>
      <sheetName val="Orion TB"/>
      <sheetName val="Mapping- T24"/>
      <sheetName val="MainAccount Master"/>
      <sheetName val="subaccount Master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New code - Temenos</v>
          </cell>
          <cell r="J1" t="str">
            <v>line Id</v>
          </cell>
        </row>
        <row r="2">
          <cell r="G2" t="str">
            <v>400100110000&gt;400100112025</v>
          </cell>
          <cell r="J2" t="str">
            <v>BFPL.0022</v>
          </cell>
        </row>
        <row r="3">
          <cell r="G3" t="str">
            <v>400200120000&gt;400200122025</v>
          </cell>
          <cell r="J3" t="str">
            <v>BFPL.1601</v>
          </cell>
        </row>
        <row r="4">
          <cell r="G4" t="str">
            <v>400200120000&gt;400200122026</v>
          </cell>
          <cell r="J4" t="str">
            <v>BFPL.1601</v>
          </cell>
        </row>
        <row r="5">
          <cell r="G5" t="str">
            <v>400400150000&gt;400400152025</v>
          </cell>
          <cell r="J5" t="str">
            <v>BFPL.1601</v>
          </cell>
        </row>
        <row r="6">
          <cell r="G6" t="str">
            <v>400400150000&gt;400400152026</v>
          </cell>
          <cell r="J6" t="str">
            <v>BFPL.1601</v>
          </cell>
        </row>
        <row r="7">
          <cell r="G7" t="str">
            <v>502000110000&gt;502000112025</v>
          </cell>
          <cell r="J7" t="str">
            <v>BFPL.3002</v>
          </cell>
        </row>
        <row r="8">
          <cell r="G8" t="str">
            <v>601200220000&gt;601200222025</v>
          </cell>
          <cell r="J8" t="str">
            <v>BFPL.3004</v>
          </cell>
        </row>
        <row r="9">
          <cell r="G9" t="str">
            <v>601600260000&gt;601600260001</v>
          </cell>
          <cell r="J9" t="str">
            <v>BFPL.3510</v>
          </cell>
        </row>
        <row r="10">
          <cell r="G10" t="str">
            <v>601600260000&gt;601600260002</v>
          </cell>
          <cell r="J10" t="str">
            <v>BFPL.3510</v>
          </cell>
        </row>
        <row r="11">
          <cell r="G11" t="str">
            <v>601200220000&gt;601200222025</v>
          </cell>
          <cell r="J11" t="str">
            <v>BFPL.3960</v>
          </cell>
        </row>
        <row r="12">
          <cell r="G12"/>
        </row>
        <row r="13">
          <cell r="G13" t="str">
            <v>100500260000&gt;100500260001</v>
          </cell>
          <cell r="J13" t="str">
            <v>BFBS.1012</v>
          </cell>
        </row>
        <row r="14">
          <cell r="G14" t="str">
            <v>100500260000&gt;100500260002</v>
          </cell>
          <cell r="J14" t="str">
            <v>BFBS.1013</v>
          </cell>
        </row>
        <row r="15">
          <cell r="G15" t="str">
            <v>100500260000&gt;100500260003</v>
          </cell>
          <cell r="J15" t="str">
            <v>BFBS.1014</v>
          </cell>
        </row>
        <row r="16">
          <cell r="G16" t="str">
            <v>200800180000&gt;200808190001</v>
          </cell>
          <cell r="J16" t="str">
            <v>BFBS.1015</v>
          </cell>
        </row>
        <row r="17">
          <cell r="G17" t="str">
            <v>100900320000&gt;100900322025</v>
          </cell>
          <cell r="J17" t="str">
            <v>BFBS.1016</v>
          </cell>
        </row>
        <row r="18">
          <cell r="G18" t="str">
            <v>100900340000&gt;100900342025</v>
          </cell>
          <cell r="J18" t="str">
            <v>BFBS.1017</v>
          </cell>
        </row>
        <row r="19">
          <cell r="G19" t="str">
            <v>201500360000&gt;201500360001</v>
          </cell>
          <cell r="J19" t="str">
            <v>BFBS.2451</v>
          </cell>
        </row>
        <row r="20">
          <cell r="G20" t="str">
            <v>201500370000&gt;201500370001</v>
          </cell>
          <cell r="J20" t="str">
            <v>BFBS.2452</v>
          </cell>
        </row>
        <row r="21">
          <cell r="G21" t="str">
            <v>201200250000&gt;201200250002</v>
          </cell>
          <cell r="J21" t="str">
            <v>BFBS.3001</v>
          </cell>
        </row>
        <row r="22">
          <cell r="G22" t="str">
            <v>101300440000&gt;101301440010</v>
          </cell>
          <cell r="J22" t="str">
            <v>BFBS.3003</v>
          </cell>
        </row>
        <row r="23">
          <cell r="G23" t="str">
            <v>101300440000&gt;101301440011</v>
          </cell>
          <cell r="J23" t="str">
            <v>BFBS.3004</v>
          </cell>
        </row>
        <row r="24">
          <cell r="G24" t="str">
            <v>102200000000&gt;102200000002</v>
          </cell>
          <cell r="J24" t="str">
            <v>BFBS.4701</v>
          </cell>
        </row>
        <row r="25">
          <cell r="G25" t="str">
            <v>202100510000&gt;202100510001</v>
          </cell>
          <cell r="J25" t="str">
            <v>BFBS.5062</v>
          </cell>
        </row>
        <row r="26">
          <cell r="G26" t="str">
            <v>202100610000&gt;202100610001</v>
          </cell>
          <cell r="J26" t="str">
            <v>BFBS.5063</v>
          </cell>
        </row>
        <row r="27">
          <cell r="G27" t="str">
            <v>202100710000&gt;202100710001</v>
          </cell>
          <cell r="J27" t="str">
            <v>BFBS.7001</v>
          </cell>
        </row>
        <row r="28">
          <cell r="G28" t="str">
            <v>202100810000&gt;202100810001</v>
          </cell>
          <cell r="J28" t="str">
            <v>BFBS.7002</v>
          </cell>
        </row>
        <row r="29">
          <cell r="G29" t="str">
            <v>202100910000&gt;202100910001</v>
          </cell>
          <cell r="J29" t="str">
            <v>BFBS.7003</v>
          </cell>
        </row>
        <row r="30">
          <cell r="G30" t="str">
            <v>202101010000&gt;202101010001</v>
          </cell>
          <cell r="J30" t="str">
            <v>BFBS.7004</v>
          </cell>
        </row>
        <row r="31">
          <cell r="G31" t="str">
            <v>201200250000&gt;201200250001</v>
          </cell>
          <cell r="J31" t="str">
            <v>BFBS.7501</v>
          </cell>
        </row>
        <row r="32">
          <cell r="G32"/>
        </row>
        <row r="33">
          <cell r="G33"/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60B4-400E-4619-8158-CADA702807E9}">
  <sheetPr>
    <pageSetUpPr autoPageBreaks="0"/>
  </sheetPr>
  <dimension ref="A1:I136"/>
  <sheetViews>
    <sheetView tabSelected="1" zoomScale="118" zoomScaleNormal="118" workbookViewId="0">
      <pane xSplit="5" ySplit="2" topLeftCell="G11" activePane="bottomRight" state="frozen"/>
      <selection activeCell="G50" sqref="G50"/>
      <selection pane="topRight" activeCell="G50" sqref="G50"/>
      <selection pane="bottomLeft" activeCell="G50" sqref="G50"/>
      <selection pane="bottomRight" activeCell="E19" sqref="E19"/>
    </sheetView>
  </sheetViews>
  <sheetFormatPr defaultRowHeight="12" x14ac:dyDescent="0.2"/>
  <cols>
    <col min="1" max="1" width="11" style="1" hidden="1" customWidth="1"/>
    <col min="2" max="2" width="10" style="1" hidden="1" customWidth="1"/>
    <col min="3" max="4" width="13.5703125" style="1" bestFit="1" customWidth="1"/>
    <col min="5" max="8" width="37" style="1" customWidth="1"/>
    <col min="9" max="16384" width="9.140625" style="1"/>
  </cols>
  <sheetData>
    <row r="1" spans="1:8" ht="12.75" thickBot="1" x14ac:dyDescent="0.25">
      <c r="A1" s="13"/>
      <c r="B1" s="13"/>
      <c r="C1" s="13"/>
      <c r="D1" s="13"/>
      <c r="E1" s="13"/>
      <c r="F1" s="13"/>
      <c r="G1" s="13"/>
      <c r="H1" s="13"/>
    </row>
    <row r="2" spans="1:8" x14ac:dyDescent="0.2">
      <c r="A2" s="15" t="s">
        <v>28</v>
      </c>
      <c r="B2" s="15" t="s">
        <v>27</v>
      </c>
      <c r="C2" s="17" t="s">
        <v>31</v>
      </c>
      <c r="D2" s="17" t="s">
        <v>703</v>
      </c>
      <c r="E2" s="11" t="s">
        <v>780</v>
      </c>
      <c r="F2" s="11" t="s">
        <v>779</v>
      </c>
      <c r="G2" s="11" t="s">
        <v>778</v>
      </c>
      <c r="H2" s="11" t="s">
        <v>784</v>
      </c>
    </row>
    <row r="3" spans="1:8" x14ac:dyDescent="0.2">
      <c r="A3" s="3"/>
      <c r="B3" s="3"/>
      <c r="C3" s="42" t="s">
        <v>155</v>
      </c>
      <c r="D3" s="42"/>
      <c r="E3" s="61" t="s">
        <v>17</v>
      </c>
      <c r="F3" s="61"/>
      <c r="G3" s="61"/>
      <c r="H3" s="61"/>
    </row>
    <row r="4" spans="1:8" x14ac:dyDescent="0.2">
      <c r="A4" s="3"/>
      <c r="B4" s="3"/>
      <c r="C4" s="42" t="s">
        <v>156</v>
      </c>
      <c r="D4" s="42"/>
      <c r="E4" s="61" t="s">
        <v>38</v>
      </c>
      <c r="F4" s="61"/>
      <c r="G4" s="61"/>
      <c r="H4" s="61"/>
    </row>
    <row r="5" spans="1:8" x14ac:dyDescent="0.2">
      <c r="A5" s="3"/>
      <c r="B5" s="3"/>
      <c r="C5" s="42" t="s">
        <v>157</v>
      </c>
      <c r="D5" s="42"/>
      <c r="E5" s="45" t="s">
        <v>39</v>
      </c>
      <c r="F5" s="45"/>
      <c r="G5" s="45"/>
      <c r="H5" s="45"/>
    </row>
    <row r="6" spans="1:8" x14ac:dyDescent="0.2">
      <c r="A6" s="37"/>
      <c r="B6" s="38" t="s">
        <v>40</v>
      </c>
      <c r="C6" s="34" t="s">
        <v>165</v>
      </c>
      <c r="D6" s="34">
        <f t="shared" ref="D6:D7" si="0">H6</f>
        <v>0</v>
      </c>
      <c r="E6" s="4" t="s">
        <v>110</v>
      </c>
      <c r="F6" s="4" t="s">
        <v>766</v>
      </c>
      <c r="G6" s="4"/>
      <c r="H6" s="4"/>
    </row>
    <row r="7" spans="1:8" x14ac:dyDescent="0.2">
      <c r="A7" s="37"/>
      <c r="B7" s="38" t="s">
        <v>41</v>
      </c>
      <c r="C7" s="34" t="s">
        <v>166</v>
      </c>
      <c r="D7" s="34">
        <f t="shared" si="0"/>
        <v>0</v>
      </c>
      <c r="E7" s="4" t="s">
        <v>111</v>
      </c>
      <c r="F7" s="4" t="s">
        <v>766</v>
      </c>
      <c r="G7" s="4"/>
      <c r="H7" s="4"/>
    </row>
    <row r="8" spans="1:8" x14ac:dyDescent="0.2">
      <c r="A8" s="3"/>
      <c r="B8" s="3" t="s">
        <v>43</v>
      </c>
      <c r="C8" s="68" t="s">
        <v>167</v>
      </c>
      <c r="D8" s="68"/>
      <c r="E8" s="5" t="s">
        <v>42</v>
      </c>
      <c r="F8" s="5"/>
      <c r="G8" s="5"/>
      <c r="H8" s="5"/>
    </row>
    <row r="9" spans="1:8" x14ac:dyDescent="0.2">
      <c r="A9" s="3"/>
      <c r="B9" s="44" t="s">
        <v>45</v>
      </c>
      <c r="C9" s="68" t="s">
        <v>168</v>
      </c>
      <c r="D9" s="68"/>
      <c r="E9" s="5" t="s">
        <v>44</v>
      </c>
      <c r="F9" s="5"/>
      <c r="G9" s="5"/>
      <c r="H9" s="5"/>
    </row>
    <row r="10" spans="1:8" x14ac:dyDescent="0.2">
      <c r="A10" s="3"/>
      <c r="B10" s="44" t="s">
        <v>46</v>
      </c>
      <c r="C10" s="42" t="s">
        <v>169</v>
      </c>
      <c r="D10" s="42"/>
      <c r="E10" s="61" t="s">
        <v>49</v>
      </c>
      <c r="F10" s="61"/>
      <c r="G10" s="61"/>
      <c r="H10" s="61"/>
    </row>
    <row r="11" spans="1:8" x14ac:dyDescent="0.2">
      <c r="A11" s="3"/>
      <c r="B11" s="44" t="s">
        <v>46</v>
      </c>
      <c r="C11" s="42" t="s">
        <v>170</v>
      </c>
      <c r="D11" s="42"/>
      <c r="E11" s="45" t="s">
        <v>47</v>
      </c>
      <c r="F11" s="45"/>
      <c r="G11" s="45"/>
      <c r="H11" s="45"/>
    </row>
    <row r="12" spans="1:8" x14ac:dyDescent="0.2">
      <c r="A12" s="3"/>
      <c r="B12" s="44" t="s">
        <v>46</v>
      </c>
      <c r="C12" s="42" t="s">
        <v>171</v>
      </c>
      <c r="D12" s="42"/>
      <c r="E12" s="61" t="s">
        <v>118</v>
      </c>
      <c r="F12" s="61"/>
      <c r="G12" s="61"/>
      <c r="H12" s="61"/>
    </row>
    <row r="13" spans="1:8" x14ac:dyDescent="0.2">
      <c r="A13" s="37"/>
      <c r="B13" s="37"/>
      <c r="C13" s="34" t="s">
        <v>754</v>
      </c>
      <c r="D13" s="34">
        <f>H13</f>
        <v>1104000011</v>
      </c>
      <c r="E13" s="4" t="s">
        <v>380</v>
      </c>
      <c r="F13" s="4" t="s">
        <v>767</v>
      </c>
      <c r="G13" s="4" t="s">
        <v>771</v>
      </c>
      <c r="H13" s="4">
        <v>1104000011</v>
      </c>
    </row>
    <row r="14" spans="1:8" x14ac:dyDescent="0.2">
      <c r="A14" s="37"/>
      <c r="B14" s="37"/>
      <c r="C14" s="34" t="s">
        <v>755</v>
      </c>
      <c r="D14" s="34">
        <f t="shared" ref="D14:D19" si="1">H14</f>
        <v>1104000012</v>
      </c>
      <c r="E14" s="4" t="s">
        <v>382</v>
      </c>
      <c r="F14" s="4" t="s">
        <v>767</v>
      </c>
      <c r="G14" s="4" t="s">
        <v>771</v>
      </c>
      <c r="H14" s="4">
        <v>1104000012</v>
      </c>
    </row>
    <row r="15" spans="1:8" x14ac:dyDescent="0.2">
      <c r="A15" s="37"/>
      <c r="B15" s="37"/>
      <c r="C15" s="34" t="s">
        <v>756</v>
      </c>
      <c r="D15" s="34">
        <f t="shared" si="1"/>
        <v>1104000013</v>
      </c>
      <c r="E15" s="4" t="s">
        <v>381</v>
      </c>
      <c r="F15" s="4" t="s">
        <v>767</v>
      </c>
      <c r="G15" s="4" t="s">
        <v>771</v>
      </c>
      <c r="H15" s="4">
        <v>1104000013</v>
      </c>
    </row>
    <row r="16" spans="1:8" x14ac:dyDescent="0.2">
      <c r="A16" s="37"/>
      <c r="B16" s="37"/>
      <c r="C16" s="34" t="s">
        <v>757</v>
      </c>
      <c r="D16" s="34">
        <f t="shared" si="1"/>
        <v>1104000014</v>
      </c>
      <c r="E16" s="4" t="s">
        <v>383</v>
      </c>
      <c r="F16" s="4" t="s">
        <v>767</v>
      </c>
      <c r="G16" s="4" t="s">
        <v>771</v>
      </c>
      <c r="H16" s="4">
        <v>1104000014</v>
      </c>
    </row>
    <row r="17" spans="1:8" x14ac:dyDescent="0.2">
      <c r="A17" s="37"/>
      <c r="B17" s="37"/>
      <c r="C17" s="34" t="s">
        <v>758</v>
      </c>
      <c r="D17" s="34">
        <f t="shared" si="1"/>
        <v>2104310004</v>
      </c>
      <c r="E17" s="4" t="s">
        <v>432</v>
      </c>
      <c r="F17" s="4" t="s">
        <v>767</v>
      </c>
      <c r="G17" s="4" t="s">
        <v>772</v>
      </c>
      <c r="H17" s="4">
        <v>2104310004</v>
      </c>
    </row>
    <row r="18" spans="1:8" x14ac:dyDescent="0.2">
      <c r="A18" s="37"/>
      <c r="B18" s="37"/>
      <c r="C18" s="34" t="s">
        <v>759</v>
      </c>
      <c r="D18" s="34">
        <f t="shared" si="1"/>
        <v>2104310005</v>
      </c>
      <c r="E18" s="4" t="s">
        <v>395</v>
      </c>
      <c r="F18" s="4" t="s">
        <v>767</v>
      </c>
      <c r="G18" s="4" t="s">
        <v>709</v>
      </c>
      <c r="H18" s="4">
        <v>2104310005</v>
      </c>
    </row>
    <row r="19" spans="1:8" x14ac:dyDescent="0.2">
      <c r="A19" s="37"/>
      <c r="B19" s="37"/>
      <c r="C19" s="34" t="s">
        <v>760</v>
      </c>
      <c r="D19" s="34">
        <f t="shared" si="1"/>
        <v>2104310006</v>
      </c>
      <c r="E19" s="4" t="s">
        <v>737</v>
      </c>
      <c r="F19" s="4" t="s">
        <v>767</v>
      </c>
      <c r="G19" s="4" t="s">
        <v>772</v>
      </c>
      <c r="H19" s="4">
        <v>2104310006</v>
      </c>
    </row>
    <row r="20" spans="1:8" x14ac:dyDescent="0.2">
      <c r="A20" s="16"/>
      <c r="B20" s="19">
        <v>1020</v>
      </c>
      <c r="C20" s="68" t="s">
        <v>590</v>
      </c>
      <c r="D20" s="68"/>
      <c r="E20" s="5" t="s">
        <v>548</v>
      </c>
      <c r="F20" s="5"/>
      <c r="G20" s="5"/>
      <c r="H20" s="5"/>
    </row>
    <row r="21" spans="1:8" x14ac:dyDescent="0.2">
      <c r="A21" s="3"/>
      <c r="B21" s="44"/>
      <c r="C21" s="42" t="s">
        <v>172</v>
      </c>
      <c r="D21" s="42"/>
      <c r="E21" s="61" t="s">
        <v>113</v>
      </c>
      <c r="F21" s="61"/>
      <c r="G21" s="61"/>
      <c r="H21" s="61"/>
    </row>
    <row r="22" spans="1:8" x14ac:dyDescent="0.2">
      <c r="A22" s="6"/>
      <c r="B22" s="23"/>
      <c r="C22" s="34" t="s">
        <v>173</v>
      </c>
      <c r="D22" s="34">
        <f t="shared" ref="D22:D28" si="2">H22</f>
        <v>1104000011</v>
      </c>
      <c r="E22" s="4" t="s">
        <v>384</v>
      </c>
      <c r="F22" s="4" t="s">
        <v>767</v>
      </c>
      <c r="G22" s="4" t="s">
        <v>771</v>
      </c>
      <c r="H22" s="4">
        <v>1104000011</v>
      </c>
    </row>
    <row r="23" spans="1:8" x14ac:dyDescent="0.2">
      <c r="A23" s="6"/>
      <c r="B23" s="23"/>
      <c r="C23" s="34" t="s">
        <v>174</v>
      </c>
      <c r="D23" s="34">
        <f t="shared" si="2"/>
        <v>1104000012</v>
      </c>
      <c r="E23" s="4" t="s">
        <v>385</v>
      </c>
      <c r="F23" s="4" t="s">
        <v>767</v>
      </c>
      <c r="G23" s="4" t="s">
        <v>771</v>
      </c>
      <c r="H23" s="4">
        <v>1104000012</v>
      </c>
    </row>
    <row r="24" spans="1:8" x14ac:dyDescent="0.2">
      <c r="A24" s="6"/>
      <c r="B24" s="23"/>
      <c r="C24" s="34" t="s">
        <v>595</v>
      </c>
      <c r="D24" s="34">
        <f t="shared" si="2"/>
        <v>1104000013</v>
      </c>
      <c r="E24" s="4" t="s">
        <v>386</v>
      </c>
      <c r="F24" s="4" t="s">
        <v>767</v>
      </c>
      <c r="G24" s="4" t="s">
        <v>771</v>
      </c>
      <c r="H24" s="4">
        <v>1104000013</v>
      </c>
    </row>
    <row r="25" spans="1:8" x14ac:dyDescent="0.2">
      <c r="A25" s="6"/>
      <c r="B25" s="23"/>
      <c r="C25" s="34" t="s">
        <v>596</v>
      </c>
      <c r="D25" s="34">
        <f t="shared" si="2"/>
        <v>1104000014</v>
      </c>
      <c r="E25" s="4" t="s">
        <v>387</v>
      </c>
      <c r="F25" s="4" t="s">
        <v>767</v>
      </c>
      <c r="G25" s="4" t="s">
        <v>771</v>
      </c>
      <c r="H25" s="4">
        <v>1104000014</v>
      </c>
    </row>
    <row r="26" spans="1:8" x14ac:dyDescent="0.2">
      <c r="A26" s="6"/>
      <c r="B26" s="23"/>
      <c r="C26" s="34" t="s">
        <v>597</v>
      </c>
      <c r="D26" s="34">
        <f t="shared" si="2"/>
        <v>2104310004</v>
      </c>
      <c r="E26" s="4" t="s">
        <v>434</v>
      </c>
      <c r="F26" s="4" t="s">
        <v>767</v>
      </c>
      <c r="G26" s="4" t="s">
        <v>772</v>
      </c>
      <c r="H26" s="4">
        <v>2104310004</v>
      </c>
    </row>
    <row r="27" spans="1:8" x14ac:dyDescent="0.2">
      <c r="A27" s="6"/>
      <c r="B27" s="23"/>
      <c r="C27" s="34" t="s">
        <v>598</v>
      </c>
      <c r="D27" s="34">
        <f t="shared" si="2"/>
        <v>2104310005</v>
      </c>
      <c r="E27" s="4" t="s">
        <v>393</v>
      </c>
      <c r="F27" s="4" t="s">
        <v>767</v>
      </c>
      <c r="G27" s="4" t="s">
        <v>709</v>
      </c>
      <c r="H27" s="4">
        <v>2104310005</v>
      </c>
    </row>
    <row r="28" spans="1:8" x14ac:dyDescent="0.2">
      <c r="A28" s="6"/>
      <c r="B28" s="23"/>
      <c r="C28" s="34" t="s">
        <v>761</v>
      </c>
      <c r="D28" s="34">
        <f t="shared" si="2"/>
        <v>2104310006</v>
      </c>
      <c r="E28" s="4" t="s">
        <v>739</v>
      </c>
      <c r="F28" s="4" t="s">
        <v>767</v>
      </c>
      <c r="G28" s="4" t="s">
        <v>772</v>
      </c>
      <c r="H28" s="4">
        <v>2104310006</v>
      </c>
    </row>
    <row r="29" spans="1:8" x14ac:dyDescent="0.2">
      <c r="A29" s="16"/>
      <c r="B29" s="19"/>
      <c r="C29" s="68" t="s">
        <v>175</v>
      </c>
      <c r="D29" s="68"/>
      <c r="E29" s="5" t="s">
        <v>478</v>
      </c>
      <c r="F29" s="5"/>
      <c r="G29" s="5"/>
      <c r="H29" s="5"/>
    </row>
    <row r="30" spans="1:8" x14ac:dyDescent="0.2">
      <c r="A30" s="3"/>
      <c r="B30" s="44"/>
      <c r="C30" s="42" t="s">
        <v>176</v>
      </c>
      <c r="D30" s="42"/>
      <c r="E30" s="61" t="s">
        <v>116</v>
      </c>
      <c r="F30" s="61"/>
      <c r="G30" s="61"/>
      <c r="H30" s="61"/>
    </row>
    <row r="31" spans="1:8" x14ac:dyDescent="0.2">
      <c r="A31" s="6"/>
      <c r="B31" s="23"/>
      <c r="C31" s="34" t="s">
        <v>177</v>
      </c>
      <c r="D31" s="34">
        <f t="shared" ref="D31:D37" si="3">H31</f>
        <v>1104000011</v>
      </c>
      <c r="E31" s="4" t="s">
        <v>388</v>
      </c>
      <c r="F31" s="4" t="s">
        <v>767</v>
      </c>
      <c r="G31" s="4" t="s">
        <v>771</v>
      </c>
      <c r="H31" s="4">
        <v>1104000011</v>
      </c>
    </row>
    <row r="32" spans="1:8" x14ac:dyDescent="0.2">
      <c r="A32" s="6"/>
      <c r="B32" s="23"/>
      <c r="C32" s="34" t="s">
        <v>599</v>
      </c>
      <c r="D32" s="34">
        <f t="shared" si="3"/>
        <v>1104000012</v>
      </c>
      <c r="E32" s="4" t="s">
        <v>389</v>
      </c>
      <c r="F32" s="4" t="s">
        <v>767</v>
      </c>
      <c r="G32" s="4" t="s">
        <v>771</v>
      </c>
      <c r="H32" s="4">
        <v>1104000012</v>
      </c>
    </row>
    <row r="33" spans="1:8" x14ac:dyDescent="0.2">
      <c r="A33" s="6"/>
      <c r="B33" s="23"/>
      <c r="C33" s="34" t="s">
        <v>178</v>
      </c>
      <c r="D33" s="34">
        <f t="shared" si="3"/>
        <v>1104000013</v>
      </c>
      <c r="E33" s="4" t="s">
        <v>390</v>
      </c>
      <c r="F33" s="4" t="s">
        <v>767</v>
      </c>
      <c r="G33" s="4" t="s">
        <v>771</v>
      </c>
      <c r="H33" s="4">
        <v>1104000013</v>
      </c>
    </row>
    <row r="34" spans="1:8" x14ac:dyDescent="0.2">
      <c r="A34" s="6"/>
      <c r="B34" s="23"/>
      <c r="C34" s="34" t="s">
        <v>600</v>
      </c>
      <c r="D34" s="34">
        <f t="shared" si="3"/>
        <v>1104000014</v>
      </c>
      <c r="E34" s="4" t="s">
        <v>391</v>
      </c>
      <c r="F34" s="4" t="s">
        <v>767</v>
      </c>
      <c r="G34" s="4" t="s">
        <v>771</v>
      </c>
      <c r="H34" s="4">
        <v>1104000014</v>
      </c>
    </row>
    <row r="35" spans="1:8" x14ac:dyDescent="0.2">
      <c r="A35" s="6"/>
      <c r="B35" s="23"/>
      <c r="C35" s="34" t="s">
        <v>179</v>
      </c>
      <c r="D35" s="34">
        <f t="shared" si="3"/>
        <v>2104310004</v>
      </c>
      <c r="E35" s="4" t="s">
        <v>438</v>
      </c>
      <c r="F35" s="4" t="s">
        <v>767</v>
      </c>
      <c r="G35" s="4" t="s">
        <v>772</v>
      </c>
      <c r="H35" s="4">
        <v>2104310004</v>
      </c>
    </row>
    <row r="36" spans="1:8" x14ac:dyDescent="0.2">
      <c r="A36" s="6"/>
      <c r="B36" s="23"/>
      <c r="C36" s="34" t="s">
        <v>601</v>
      </c>
      <c r="D36" s="34">
        <f t="shared" si="3"/>
        <v>2104310005</v>
      </c>
      <c r="E36" s="4" t="s">
        <v>394</v>
      </c>
      <c r="F36" s="4" t="s">
        <v>767</v>
      </c>
      <c r="G36" s="4" t="s">
        <v>709</v>
      </c>
      <c r="H36" s="4">
        <v>2104310005</v>
      </c>
    </row>
    <row r="37" spans="1:8" x14ac:dyDescent="0.2">
      <c r="A37" s="6"/>
      <c r="B37" s="23"/>
      <c r="C37" s="34" t="s">
        <v>762</v>
      </c>
      <c r="D37" s="34">
        <f t="shared" si="3"/>
        <v>2104310006</v>
      </c>
      <c r="E37" s="4" t="s">
        <v>741</v>
      </c>
      <c r="F37" s="4" t="s">
        <v>767</v>
      </c>
      <c r="G37" s="4" t="s">
        <v>772</v>
      </c>
      <c r="H37" s="4">
        <v>2104310006</v>
      </c>
    </row>
    <row r="38" spans="1:8" x14ac:dyDescent="0.2">
      <c r="A38" s="16"/>
      <c r="B38" s="19"/>
      <c r="C38" s="68" t="s">
        <v>602</v>
      </c>
      <c r="D38" s="68"/>
      <c r="E38" s="5" t="s">
        <v>479</v>
      </c>
      <c r="F38" s="5"/>
      <c r="G38" s="5"/>
      <c r="H38" s="5"/>
    </row>
    <row r="39" spans="1:8" x14ac:dyDescent="0.2">
      <c r="A39" s="16"/>
      <c r="B39" s="19">
        <v>1300</v>
      </c>
      <c r="C39" s="68" t="s">
        <v>180</v>
      </c>
      <c r="D39" s="68"/>
      <c r="E39" s="5" t="s">
        <v>48</v>
      </c>
      <c r="F39" s="5"/>
      <c r="G39" s="5"/>
      <c r="H39" s="5"/>
    </row>
    <row r="40" spans="1:8" x14ac:dyDescent="0.2">
      <c r="A40" s="3"/>
      <c r="B40" s="3">
        <v>2450</v>
      </c>
      <c r="C40" s="2" t="s">
        <v>181</v>
      </c>
      <c r="D40" s="2"/>
      <c r="E40" s="57" t="s">
        <v>392</v>
      </c>
      <c r="F40" s="57"/>
      <c r="G40" s="57"/>
      <c r="H40" s="57"/>
    </row>
    <row r="41" spans="1:8" x14ac:dyDescent="0.2">
      <c r="A41" s="6"/>
      <c r="B41" s="6">
        <v>2451</v>
      </c>
      <c r="C41" s="4" t="s">
        <v>182</v>
      </c>
      <c r="D41" s="34">
        <f t="shared" ref="D41:D43" si="4">H41</f>
        <v>1106310002</v>
      </c>
      <c r="E41" s="4" t="s">
        <v>52</v>
      </c>
      <c r="F41" s="4" t="s">
        <v>768</v>
      </c>
      <c r="G41" s="4" t="s">
        <v>771</v>
      </c>
      <c r="H41" s="4">
        <v>1106310002</v>
      </c>
    </row>
    <row r="42" spans="1:8" x14ac:dyDescent="0.2">
      <c r="A42" s="6"/>
      <c r="B42" s="6">
        <v>2452</v>
      </c>
      <c r="C42" s="4" t="s">
        <v>183</v>
      </c>
      <c r="D42" s="34">
        <f t="shared" si="4"/>
        <v>1106310003</v>
      </c>
      <c r="E42" s="4" t="s">
        <v>51</v>
      </c>
      <c r="F42" s="4" t="s">
        <v>768</v>
      </c>
      <c r="G42" s="4" t="s">
        <v>771</v>
      </c>
      <c r="H42" s="4">
        <v>1106310003</v>
      </c>
    </row>
    <row r="43" spans="1:8" x14ac:dyDescent="0.2">
      <c r="A43" s="6"/>
      <c r="B43" s="6"/>
      <c r="C43" s="4" t="s">
        <v>184</v>
      </c>
      <c r="D43" s="34">
        <f t="shared" si="4"/>
        <v>1106310004</v>
      </c>
      <c r="E43" s="4" t="s">
        <v>117</v>
      </c>
      <c r="F43" s="4" t="s">
        <v>768</v>
      </c>
      <c r="G43" s="4" t="s">
        <v>771</v>
      </c>
      <c r="H43" s="4">
        <v>1106310004</v>
      </c>
    </row>
    <row r="44" spans="1:8" x14ac:dyDescent="0.2">
      <c r="A44" s="16"/>
      <c r="B44" s="19">
        <v>2453</v>
      </c>
      <c r="C44" s="5" t="s">
        <v>185</v>
      </c>
      <c r="D44" s="5"/>
      <c r="E44" s="5" t="s">
        <v>396</v>
      </c>
      <c r="F44" s="5"/>
      <c r="G44" s="5"/>
      <c r="H44" s="5"/>
    </row>
    <row r="45" spans="1:8" x14ac:dyDescent="0.2">
      <c r="A45" s="16"/>
      <c r="B45" s="19">
        <v>2500</v>
      </c>
      <c r="C45" s="5" t="s">
        <v>186</v>
      </c>
      <c r="D45" s="5"/>
      <c r="E45" s="5" t="s">
        <v>50</v>
      </c>
      <c r="F45" s="5"/>
      <c r="G45" s="5"/>
      <c r="H45" s="5"/>
    </row>
    <row r="46" spans="1:8" x14ac:dyDescent="0.2">
      <c r="A46" s="3"/>
      <c r="B46" s="3">
        <v>3000</v>
      </c>
      <c r="C46" s="2" t="s">
        <v>187</v>
      </c>
      <c r="D46" s="2"/>
      <c r="E46" s="61" t="s">
        <v>465</v>
      </c>
      <c r="F46" s="61"/>
      <c r="G46" s="61"/>
      <c r="H46" s="61"/>
    </row>
    <row r="47" spans="1:8" x14ac:dyDescent="0.2">
      <c r="A47" s="3"/>
      <c r="B47" s="3">
        <v>3000</v>
      </c>
      <c r="C47" s="2" t="s">
        <v>188</v>
      </c>
      <c r="D47" s="2"/>
      <c r="E47" s="61" t="s">
        <v>446</v>
      </c>
      <c r="F47" s="61"/>
      <c r="G47" s="61"/>
      <c r="H47" s="61"/>
    </row>
    <row r="48" spans="1:8" x14ac:dyDescent="0.2">
      <c r="A48" s="93"/>
      <c r="B48" s="93">
        <v>3002</v>
      </c>
      <c r="C48" s="4" t="s">
        <v>603</v>
      </c>
      <c r="D48" s="34">
        <f t="shared" ref="D48:D50" si="5">H48</f>
        <v>1104000015</v>
      </c>
      <c r="E48" s="25" t="s">
        <v>397</v>
      </c>
      <c r="F48" s="25" t="s">
        <v>767</v>
      </c>
      <c r="G48" s="25" t="s">
        <v>771</v>
      </c>
      <c r="H48" s="112">
        <v>1104000015</v>
      </c>
    </row>
    <row r="49" spans="1:8" x14ac:dyDescent="0.2">
      <c r="A49" s="6"/>
      <c r="B49" s="6">
        <v>3002</v>
      </c>
      <c r="C49" s="4" t="s">
        <v>604</v>
      </c>
      <c r="D49" s="34">
        <f t="shared" si="5"/>
        <v>1104000016</v>
      </c>
      <c r="E49" s="25" t="s">
        <v>398</v>
      </c>
      <c r="F49" s="25" t="s">
        <v>767</v>
      </c>
      <c r="G49" s="25" t="s">
        <v>771</v>
      </c>
      <c r="H49" s="112">
        <v>1104000016</v>
      </c>
    </row>
    <row r="50" spans="1:8" x14ac:dyDescent="0.2">
      <c r="A50" s="6"/>
      <c r="B50" s="6">
        <v>3002</v>
      </c>
      <c r="C50" s="4" t="s">
        <v>605</v>
      </c>
      <c r="D50" s="34">
        <f t="shared" si="5"/>
        <v>1104000017</v>
      </c>
      <c r="E50" s="25" t="s">
        <v>399</v>
      </c>
      <c r="F50" s="25" t="s">
        <v>767</v>
      </c>
      <c r="G50" s="25" t="s">
        <v>771</v>
      </c>
      <c r="H50" s="112">
        <v>1104000017</v>
      </c>
    </row>
    <row r="51" spans="1:8" x14ac:dyDescent="0.2">
      <c r="A51" s="16"/>
      <c r="B51" s="19">
        <v>3250</v>
      </c>
      <c r="C51" s="5" t="s">
        <v>606</v>
      </c>
      <c r="D51" s="5"/>
      <c r="E51" s="5" t="s">
        <v>447</v>
      </c>
      <c r="F51" s="5"/>
      <c r="G51" s="5"/>
      <c r="H51" s="5"/>
    </row>
    <row r="52" spans="1:8" x14ac:dyDescent="0.2">
      <c r="A52" s="3"/>
      <c r="B52" s="3">
        <v>3000</v>
      </c>
      <c r="C52" s="2" t="s">
        <v>607</v>
      </c>
      <c r="D52" s="2"/>
      <c r="E52" s="61" t="s">
        <v>452</v>
      </c>
      <c r="F52" s="61"/>
      <c r="G52" s="61"/>
      <c r="H52" s="61"/>
    </row>
    <row r="53" spans="1:8" x14ac:dyDescent="0.2">
      <c r="A53" s="6"/>
      <c r="B53" s="6">
        <v>3002</v>
      </c>
      <c r="C53" s="4" t="s">
        <v>608</v>
      </c>
      <c r="D53" s="34">
        <f t="shared" ref="D53:D56" si="6">H53</f>
        <v>1104310003</v>
      </c>
      <c r="E53" s="25" t="s">
        <v>249</v>
      </c>
      <c r="F53" s="25" t="s">
        <v>767</v>
      </c>
      <c r="G53" s="25" t="s">
        <v>771</v>
      </c>
      <c r="H53" s="112">
        <v>1104310003</v>
      </c>
    </row>
    <row r="54" spans="1:8" x14ac:dyDescent="0.2">
      <c r="A54" s="6"/>
      <c r="B54" s="6">
        <v>3002</v>
      </c>
      <c r="C54" s="4" t="s">
        <v>609</v>
      </c>
      <c r="D54" s="34">
        <f t="shared" si="6"/>
        <v>1104310004</v>
      </c>
      <c r="E54" s="25" t="s">
        <v>247</v>
      </c>
      <c r="F54" s="25" t="s">
        <v>767</v>
      </c>
      <c r="G54" s="25" t="s">
        <v>771</v>
      </c>
      <c r="H54" s="112">
        <v>1104310004</v>
      </c>
    </row>
    <row r="55" spans="1:8" x14ac:dyDescent="0.2">
      <c r="A55" s="6"/>
      <c r="B55" s="6">
        <v>3002</v>
      </c>
      <c r="C55" s="4" t="s">
        <v>610</v>
      </c>
      <c r="D55" s="34">
        <f t="shared" si="6"/>
        <v>1104310005</v>
      </c>
      <c r="E55" s="25" t="s">
        <v>451</v>
      </c>
      <c r="F55" s="25" t="s">
        <v>767</v>
      </c>
      <c r="G55" s="25" t="s">
        <v>771</v>
      </c>
      <c r="H55" s="112">
        <v>1104310005</v>
      </c>
    </row>
    <row r="56" spans="1:8" x14ac:dyDescent="0.2">
      <c r="A56" s="6"/>
      <c r="B56" s="6">
        <v>3002</v>
      </c>
      <c r="C56" s="4" t="s">
        <v>611</v>
      </c>
      <c r="D56" s="34">
        <f t="shared" si="6"/>
        <v>1104310006</v>
      </c>
      <c r="E56" s="25" t="s">
        <v>248</v>
      </c>
      <c r="F56" s="25" t="s">
        <v>767</v>
      </c>
      <c r="G56" s="25" t="s">
        <v>771</v>
      </c>
      <c r="H56" s="112">
        <v>1104310006</v>
      </c>
    </row>
    <row r="57" spans="1:8" x14ac:dyDescent="0.2">
      <c r="A57" s="16"/>
      <c r="B57" s="19">
        <v>3250</v>
      </c>
      <c r="C57" s="5" t="s">
        <v>612</v>
      </c>
      <c r="D57" s="5"/>
      <c r="E57" s="5" t="s">
        <v>453</v>
      </c>
      <c r="F57" s="5"/>
      <c r="G57" s="5"/>
      <c r="H57" s="5"/>
    </row>
    <row r="58" spans="1:8" x14ac:dyDescent="0.2">
      <c r="A58" s="3"/>
      <c r="B58" s="3">
        <v>3000</v>
      </c>
      <c r="C58" s="2" t="s">
        <v>613</v>
      </c>
      <c r="D58" s="2"/>
      <c r="E58" s="61" t="s">
        <v>472</v>
      </c>
      <c r="F58" s="61"/>
      <c r="G58" s="61"/>
      <c r="H58" s="61"/>
    </row>
    <row r="59" spans="1:8" x14ac:dyDescent="0.2">
      <c r="A59" s="6"/>
      <c r="B59" s="6">
        <v>3002</v>
      </c>
      <c r="C59" s="4" t="s">
        <v>614</v>
      </c>
      <c r="D59" s="34">
        <f t="shared" ref="D59:D62" si="7">H59</f>
        <v>1104000018</v>
      </c>
      <c r="E59" s="25" t="s">
        <v>460</v>
      </c>
      <c r="F59" s="25" t="s">
        <v>767</v>
      </c>
      <c r="G59" s="25" t="s">
        <v>771</v>
      </c>
      <c r="H59" s="4">
        <v>1104000018</v>
      </c>
    </row>
    <row r="60" spans="1:8" x14ac:dyDescent="0.2">
      <c r="A60" s="6"/>
      <c r="B60" s="6">
        <v>3002</v>
      </c>
      <c r="C60" s="4" t="s">
        <v>615</v>
      </c>
      <c r="D60" s="34">
        <f t="shared" si="7"/>
        <v>1104000019</v>
      </c>
      <c r="E60" s="25" t="s">
        <v>461</v>
      </c>
      <c r="F60" s="25" t="s">
        <v>767</v>
      </c>
      <c r="G60" s="25" t="s">
        <v>771</v>
      </c>
      <c r="H60" s="4">
        <v>1104000019</v>
      </c>
    </row>
    <row r="61" spans="1:8" x14ac:dyDescent="0.2">
      <c r="A61" s="6"/>
      <c r="B61" s="6">
        <v>3002</v>
      </c>
      <c r="C61" s="4" t="s">
        <v>616</v>
      </c>
      <c r="D61" s="34">
        <f t="shared" si="7"/>
        <v>1104000020</v>
      </c>
      <c r="E61" s="25" t="s">
        <v>462</v>
      </c>
      <c r="F61" s="25" t="s">
        <v>767</v>
      </c>
      <c r="G61" s="25" t="s">
        <v>771</v>
      </c>
      <c r="H61" s="4">
        <v>1104000020</v>
      </c>
    </row>
    <row r="62" spans="1:8" x14ac:dyDescent="0.2">
      <c r="A62" s="6"/>
      <c r="B62" s="6">
        <v>3002</v>
      </c>
      <c r="C62" s="4" t="s">
        <v>617</v>
      </c>
      <c r="D62" s="34">
        <f t="shared" si="7"/>
        <v>1104000021</v>
      </c>
      <c r="E62" s="25" t="s">
        <v>463</v>
      </c>
      <c r="F62" s="25" t="s">
        <v>767</v>
      </c>
      <c r="G62" s="25" t="s">
        <v>771</v>
      </c>
      <c r="H62" s="4">
        <v>1104000021</v>
      </c>
    </row>
    <row r="63" spans="1:8" x14ac:dyDescent="0.2">
      <c r="A63" s="16"/>
      <c r="B63" s="19">
        <v>3250</v>
      </c>
      <c r="C63" s="5" t="s">
        <v>618</v>
      </c>
      <c r="D63" s="5"/>
      <c r="E63" s="5" t="s">
        <v>638</v>
      </c>
      <c r="F63" s="5"/>
      <c r="G63" s="5"/>
      <c r="H63" s="5"/>
    </row>
    <row r="64" spans="1:8" x14ac:dyDescent="0.2">
      <c r="A64" s="3"/>
      <c r="B64" s="3">
        <v>3000</v>
      </c>
      <c r="C64" s="2" t="s">
        <v>619</v>
      </c>
      <c r="D64" s="2"/>
      <c r="E64" s="61" t="s">
        <v>53</v>
      </c>
      <c r="F64" s="61"/>
      <c r="G64" s="61"/>
      <c r="H64" s="61"/>
    </row>
    <row r="65" spans="1:9" x14ac:dyDescent="0.2">
      <c r="A65" s="6"/>
      <c r="B65" s="6">
        <v>3002</v>
      </c>
      <c r="C65" s="4" t="s">
        <v>620</v>
      </c>
      <c r="D65" s="34">
        <f>H65</f>
        <v>1112000001</v>
      </c>
      <c r="E65" s="25" t="s">
        <v>53</v>
      </c>
      <c r="F65" s="25" t="s">
        <v>768</v>
      </c>
      <c r="G65" s="25" t="s">
        <v>771</v>
      </c>
      <c r="H65" s="112">
        <v>1112000001</v>
      </c>
      <c r="I65" s="1" t="s">
        <v>785</v>
      </c>
    </row>
    <row r="66" spans="1:9" x14ac:dyDescent="0.2">
      <c r="A66" s="16"/>
      <c r="B66" s="19">
        <v>3250</v>
      </c>
      <c r="C66" s="5" t="s">
        <v>621</v>
      </c>
      <c r="D66" s="5"/>
      <c r="E66" s="5" t="s">
        <v>459</v>
      </c>
      <c r="F66" s="5"/>
      <c r="G66" s="5"/>
      <c r="H66" s="5"/>
    </row>
    <row r="67" spans="1:9" x14ac:dyDescent="0.2">
      <c r="A67" s="3"/>
      <c r="B67" s="3">
        <v>3000</v>
      </c>
      <c r="C67" s="2" t="s">
        <v>622</v>
      </c>
      <c r="D67" s="2"/>
      <c r="E67" s="61" t="s">
        <v>466</v>
      </c>
      <c r="F67" s="61"/>
      <c r="G67" s="61"/>
      <c r="H67" s="61"/>
    </row>
    <row r="68" spans="1:9" x14ac:dyDescent="0.2">
      <c r="A68" s="6"/>
      <c r="B68" s="6"/>
      <c r="C68" s="4" t="s">
        <v>623</v>
      </c>
      <c r="D68" s="34">
        <f t="shared" ref="D68:D72" si="8">H68</f>
        <v>1104000022</v>
      </c>
      <c r="E68" s="25" t="s">
        <v>464</v>
      </c>
      <c r="F68" s="25" t="s">
        <v>767</v>
      </c>
      <c r="G68" s="25" t="s">
        <v>771</v>
      </c>
      <c r="H68" s="112">
        <v>1104000022</v>
      </c>
    </row>
    <row r="69" spans="1:9" x14ac:dyDescent="0.2">
      <c r="A69" s="93"/>
      <c r="B69" s="93"/>
      <c r="C69" s="4" t="s">
        <v>721</v>
      </c>
      <c r="D69" s="34">
        <f t="shared" si="8"/>
        <v>1104000023</v>
      </c>
      <c r="E69" s="25" t="s">
        <v>722</v>
      </c>
      <c r="F69" s="25" t="s">
        <v>767</v>
      </c>
      <c r="G69" s="25" t="s">
        <v>771</v>
      </c>
      <c r="H69" s="112">
        <v>1104000023</v>
      </c>
    </row>
    <row r="70" spans="1:9" x14ac:dyDescent="0.2">
      <c r="A70" s="93"/>
      <c r="B70" s="93"/>
      <c r="C70" s="4" t="s">
        <v>733</v>
      </c>
      <c r="D70" s="34">
        <f t="shared" si="8"/>
        <v>1104000024</v>
      </c>
      <c r="E70" s="25" t="s">
        <v>734</v>
      </c>
      <c r="F70" s="25" t="s">
        <v>767</v>
      </c>
      <c r="G70" s="25" t="s">
        <v>771</v>
      </c>
      <c r="H70" s="112">
        <v>1104000024</v>
      </c>
    </row>
    <row r="71" spans="1:9" x14ac:dyDescent="0.2">
      <c r="A71" s="93"/>
      <c r="B71" s="93"/>
      <c r="C71" s="4" t="s">
        <v>763</v>
      </c>
      <c r="D71" s="34">
        <f t="shared" si="8"/>
        <v>2104310011</v>
      </c>
      <c r="E71" s="25" t="s">
        <v>742</v>
      </c>
      <c r="F71" s="25" t="s">
        <v>768</v>
      </c>
      <c r="G71" s="25" t="s">
        <v>771</v>
      </c>
      <c r="H71" s="112">
        <v>2104310011</v>
      </c>
    </row>
    <row r="72" spans="1:9" x14ac:dyDescent="0.2">
      <c r="A72" s="93"/>
      <c r="B72" s="93"/>
      <c r="C72" s="4" t="s">
        <v>764</v>
      </c>
      <c r="D72" s="34">
        <f t="shared" si="8"/>
        <v>2104310012</v>
      </c>
      <c r="E72" s="25" t="s">
        <v>244</v>
      </c>
      <c r="F72" s="25" t="s">
        <v>768</v>
      </c>
      <c r="G72" s="25" t="s">
        <v>771</v>
      </c>
      <c r="H72" s="112">
        <v>2104310012</v>
      </c>
    </row>
    <row r="73" spans="1:9" x14ac:dyDescent="0.2">
      <c r="A73" s="16"/>
      <c r="B73" s="19">
        <v>3250</v>
      </c>
      <c r="C73" s="5" t="s">
        <v>189</v>
      </c>
      <c r="D73" s="5"/>
      <c r="E73" s="5" t="s">
        <v>467</v>
      </c>
      <c r="F73" s="5"/>
      <c r="G73" s="5"/>
      <c r="H73" s="5"/>
    </row>
    <row r="74" spans="1:9" x14ac:dyDescent="0.2">
      <c r="A74" s="16"/>
      <c r="B74" s="19">
        <v>4800</v>
      </c>
      <c r="C74" s="5" t="s">
        <v>190</v>
      </c>
      <c r="D74" s="5"/>
      <c r="E74" s="5" t="s">
        <v>468</v>
      </c>
      <c r="F74" s="5"/>
      <c r="G74" s="5"/>
      <c r="H74" s="5"/>
    </row>
    <row r="75" spans="1:9" x14ac:dyDescent="0.2">
      <c r="A75" s="16"/>
      <c r="B75" s="19">
        <v>4990</v>
      </c>
      <c r="C75" s="5" t="s">
        <v>191</v>
      </c>
      <c r="D75" s="5"/>
      <c r="E75" s="5" t="s">
        <v>34</v>
      </c>
      <c r="F75" s="5"/>
      <c r="G75" s="5"/>
      <c r="H75" s="5"/>
    </row>
    <row r="76" spans="1:9" x14ac:dyDescent="0.2">
      <c r="A76" s="3"/>
      <c r="B76" s="2">
        <v>5000</v>
      </c>
      <c r="C76" s="2" t="s">
        <v>192</v>
      </c>
      <c r="D76" s="2"/>
      <c r="E76" s="61" t="s">
        <v>54</v>
      </c>
      <c r="F76" s="61"/>
      <c r="G76" s="61"/>
      <c r="H76" s="61"/>
    </row>
    <row r="77" spans="1:9" x14ac:dyDescent="0.2">
      <c r="A77" s="3"/>
      <c r="B77" s="2">
        <v>5001</v>
      </c>
      <c r="C77" s="2" t="s">
        <v>193</v>
      </c>
      <c r="D77" s="2"/>
      <c r="E77" s="62" t="s">
        <v>13</v>
      </c>
      <c r="F77" s="62"/>
      <c r="G77" s="62"/>
      <c r="H77" s="62"/>
    </row>
    <row r="78" spans="1:9" x14ac:dyDescent="0.2">
      <c r="A78" s="6"/>
      <c r="B78" s="6">
        <v>5002</v>
      </c>
      <c r="C78" s="113" t="s">
        <v>194</v>
      </c>
      <c r="D78" s="113"/>
      <c r="E78" s="113" t="s">
        <v>379</v>
      </c>
      <c r="F78" s="113" t="s">
        <v>769</v>
      </c>
      <c r="G78" s="113"/>
      <c r="H78" s="113"/>
    </row>
    <row r="79" spans="1:9" x14ac:dyDescent="0.2">
      <c r="A79" s="6"/>
      <c r="B79" s="6">
        <v>5003</v>
      </c>
      <c r="C79" s="4" t="s">
        <v>195</v>
      </c>
      <c r="D79" s="4"/>
      <c r="E79" s="4" t="s">
        <v>21</v>
      </c>
      <c r="F79" s="4" t="s">
        <v>770</v>
      </c>
      <c r="G79" s="4"/>
      <c r="H79" s="4"/>
    </row>
    <row r="80" spans="1:9" x14ac:dyDescent="0.2">
      <c r="A80" s="16"/>
      <c r="B80" s="19">
        <v>5050</v>
      </c>
      <c r="C80" s="5" t="s">
        <v>196</v>
      </c>
      <c r="D80" s="5"/>
      <c r="E80" s="5" t="s">
        <v>37</v>
      </c>
      <c r="F80" s="5"/>
      <c r="G80" s="5"/>
      <c r="H80" s="5"/>
    </row>
    <row r="81" spans="1:8" x14ac:dyDescent="0.2">
      <c r="A81" s="3"/>
      <c r="B81" s="2">
        <v>5060</v>
      </c>
      <c r="C81" s="2" t="s">
        <v>197</v>
      </c>
      <c r="D81" s="2"/>
      <c r="E81" s="61" t="s">
        <v>18</v>
      </c>
      <c r="F81" s="61"/>
      <c r="G81" s="61"/>
      <c r="H81" s="61"/>
    </row>
    <row r="82" spans="1:8" x14ac:dyDescent="0.2">
      <c r="A82" s="26"/>
      <c r="B82" s="27">
        <v>5061</v>
      </c>
      <c r="C82" s="27" t="s">
        <v>198</v>
      </c>
      <c r="D82" s="27"/>
      <c r="E82" s="63" t="s">
        <v>93</v>
      </c>
      <c r="F82" s="63"/>
      <c r="G82" s="63"/>
      <c r="H82" s="63"/>
    </row>
    <row r="83" spans="1:8" x14ac:dyDescent="0.2">
      <c r="A83" s="105"/>
      <c r="B83" s="105">
        <v>5062</v>
      </c>
      <c r="C83" s="4" t="s">
        <v>199</v>
      </c>
      <c r="D83" s="34">
        <f t="shared" ref="D83:D85" si="9">H83</f>
        <v>2103310002</v>
      </c>
      <c r="E83" s="25" t="s">
        <v>126</v>
      </c>
      <c r="F83" s="25" t="s">
        <v>767</v>
      </c>
      <c r="G83" s="25" t="s">
        <v>709</v>
      </c>
      <c r="H83" s="112">
        <v>2103310002</v>
      </c>
    </row>
    <row r="84" spans="1:8" x14ac:dyDescent="0.2">
      <c r="A84" s="93"/>
      <c r="B84" s="93">
        <v>5063</v>
      </c>
      <c r="C84" s="4" t="s">
        <v>200</v>
      </c>
      <c r="D84" s="34">
        <f t="shared" si="9"/>
        <v>2101000001</v>
      </c>
      <c r="E84" s="25" t="s">
        <v>400</v>
      </c>
      <c r="F84" s="25" t="s">
        <v>773</v>
      </c>
      <c r="G84" s="25" t="s">
        <v>709</v>
      </c>
      <c r="H84" s="112">
        <v>2101000001</v>
      </c>
    </row>
    <row r="85" spans="1:8" x14ac:dyDescent="0.2">
      <c r="A85" s="6"/>
      <c r="B85" s="6">
        <v>5063</v>
      </c>
      <c r="C85" s="4" t="s">
        <v>624</v>
      </c>
      <c r="D85" s="34">
        <f t="shared" si="9"/>
        <v>2103310003</v>
      </c>
      <c r="E85" s="25" t="s">
        <v>127</v>
      </c>
      <c r="F85" s="25" t="s">
        <v>767</v>
      </c>
      <c r="G85" s="25" t="s">
        <v>709</v>
      </c>
      <c r="H85" s="112">
        <v>2103310003</v>
      </c>
    </row>
    <row r="86" spans="1:8" x14ac:dyDescent="0.2">
      <c r="A86" s="77"/>
      <c r="B86" s="78">
        <v>5100</v>
      </c>
      <c r="C86" s="71" t="s">
        <v>201</v>
      </c>
      <c r="D86" s="71"/>
      <c r="E86" s="71" t="s">
        <v>94</v>
      </c>
      <c r="F86" s="71"/>
      <c r="G86" s="71"/>
      <c r="H86" s="71"/>
    </row>
    <row r="87" spans="1:8" x14ac:dyDescent="0.2">
      <c r="A87" s="26"/>
      <c r="B87" s="27">
        <v>7000</v>
      </c>
      <c r="C87" s="27" t="s">
        <v>202</v>
      </c>
      <c r="D87" s="27"/>
      <c r="E87" s="63" t="s">
        <v>402</v>
      </c>
      <c r="F87" s="63"/>
      <c r="G87" s="63"/>
      <c r="H87" s="63"/>
    </row>
    <row r="88" spans="1:8" x14ac:dyDescent="0.2">
      <c r="A88" s="6"/>
      <c r="B88" s="6"/>
      <c r="C88" s="4" t="s">
        <v>203</v>
      </c>
      <c r="D88" s="34">
        <f t="shared" ref="D88:D105" si="10">H88</f>
        <v>2204310001</v>
      </c>
      <c r="E88" s="25" t="s">
        <v>411</v>
      </c>
      <c r="F88" s="25" t="s">
        <v>768</v>
      </c>
      <c r="G88" s="25" t="s">
        <v>709</v>
      </c>
      <c r="H88" s="112">
        <v>2204310001</v>
      </c>
    </row>
    <row r="89" spans="1:8" x14ac:dyDescent="0.2">
      <c r="A89" s="6"/>
      <c r="B89" s="6"/>
      <c r="C89" s="4" t="s">
        <v>204</v>
      </c>
      <c r="D89" s="34">
        <f t="shared" si="10"/>
        <v>2204310002</v>
      </c>
      <c r="E89" s="25" t="s">
        <v>412</v>
      </c>
      <c r="F89" s="25" t="s">
        <v>768</v>
      </c>
      <c r="G89" s="25" t="s">
        <v>709</v>
      </c>
      <c r="H89" s="112">
        <v>2204310002</v>
      </c>
    </row>
    <row r="90" spans="1:8" x14ac:dyDescent="0.2">
      <c r="A90" s="6"/>
      <c r="B90" s="6"/>
      <c r="C90" s="4" t="s">
        <v>205</v>
      </c>
      <c r="D90" s="34">
        <f t="shared" si="10"/>
        <v>2204310003</v>
      </c>
      <c r="E90" s="25" t="s">
        <v>408</v>
      </c>
      <c r="F90" s="25" t="s">
        <v>768</v>
      </c>
      <c r="G90" s="25" t="s">
        <v>709</v>
      </c>
      <c r="H90" s="112">
        <v>2204310003</v>
      </c>
    </row>
    <row r="91" spans="1:8" x14ac:dyDescent="0.2">
      <c r="A91" s="6"/>
      <c r="B91" s="6"/>
      <c r="C91" s="4" t="s">
        <v>206</v>
      </c>
      <c r="D91" s="34">
        <f t="shared" si="10"/>
        <v>2204310004</v>
      </c>
      <c r="E91" s="25" t="s">
        <v>413</v>
      </c>
      <c r="F91" s="25" t="s">
        <v>768</v>
      </c>
      <c r="G91" s="25" t="s">
        <v>709</v>
      </c>
      <c r="H91" s="112">
        <v>2204310004</v>
      </c>
    </row>
    <row r="92" spans="1:8" x14ac:dyDescent="0.2">
      <c r="A92" s="6"/>
      <c r="B92" s="6"/>
      <c r="C92" s="4" t="s">
        <v>207</v>
      </c>
      <c r="D92" s="34">
        <f t="shared" si="10"/>
        <v>2204310005</v>
      </c>
      <c r="E92" s="25" t="s">
        <v>414</v>
      </c>
      <c r="F92" s="25" t="s">
        <v>768</v>
      </c>
      <c r="G92" s="25" t="s">
        <v>709</v>
      </c>
      <c r="H92" s="112">
        <v>2204310005</v>
      </c>
    </row>
    <row r="93" spans="1:8" x14ac:dyDescent="0.2">
      <c r="A93" s="6"/>
      <c r="B93" s="6"/>
      <c r="C93" s="4" t="s">
        <v>208</v>
      </c>
      <c r="D93" s="34">
        <f t="shared" si="10"/>
        <v>2204310006</v>
      </c>
      <c r="E93" s="25" t="s">
        <v>415</v>
      </c>
      <c r="F93" s="25" t="s">
        <v>768</v>
      </c>
      <c r="G93" s="25" t="s">
        <v>709</v>
      </c>
      <c r="H93" s="112">
        <v>2204310006</v>
      </c>
    </row>
    <row r="94" spans="1:8" x14ac:dyDescent="0.2">
      <c r="A94" s="6"/>
      <c r="B94" s="6"/>
      <c r="C94" s="4" t="s">
        <v>209</v>
      </c>
      <c r="D94" s="34">
        <f t="shared" si="10"/>
        <v>2204310007</v>
      </c>
      <c r="E94" s="25" t="s">
        <v>409</v>
      </c>
      <c r="F94" s="25" t="s">
        <v>768</v>
      </c>
      <c r="G94" s="25" t="s">
        <v>709</v>
      </c>
      <c r="H94" s="112">
        <v>2204310007</v>
      </c>
    </row>
    <row r="95" spans="1:8" x14ac:dyDescent="0.2">
      <c r="A95" s="6"/>
      <c r="B95" s="6"/>
      <c r="C95" s="4" t="s">
        <v>210</v>
      </c>
      <c r="D95" s="34">
        <f t="shared" si="10"/>
        <v>2204310008</v>
      </c>
      <c r="E95" s="25" t="s">
        <v>404</v>
      </c>
      <c r="F95" s="25" t="s">
        <v>768</v>
      </c>
      <c r="G95" s="25" t="s">
        <v>709</v>
      </c>
      <c r="H95" s="112">
        <v>2204310008</v>
      </c>
    </row>
    <row r="96" spans="1:8" x14ac:dyDescent="0.2">
      <c r="A96" s="6"/>
      <c r="B96" s="6"/>
      <c r="C96" s="4" t="s">
        <v>211</v>
      </c>
      <c r="D96" s="34">
        <f t="shared" si="10"/>
        <v>2204310009</v>
      </c>
      <c r="E96" s="25" t="s">
        <v>421</v>
      </c>
      <c r="F96" s="25" t="s">
        <v>768</v>
      </c>
      <c r="G96" s="25" t="s">
        <v>709</v>
      </c>
      <c r="H96" s="112">
        <v>2204310009</v>
      </c>
    </row>
    <row r="97" spans="1:8" x14ac:dyDescent="0.2">
      <c r="A97" s="6"/>
      <c r="B97" s="6"/>
      <c r="C97" s="4" t="s">
        <v>212</v>
      </c>
      <c r="D97" s="34">
        <f t="shared" si="10"/>
        <v>2204310010</v>
      </c>
      <c r="E97" s="25" t="s">
        <v>405</v>
      </c>
      <c r="F97" s="25" t="s">
        <v>768</v>
      </c>
      <c r="G97" s="25" t="s">
        <v>709</v>
      </c>
      <c r="H97" s="112">
        <v>2204310010</v>
      </c>
    </row>
    <row r="98" spans="1:8" x14ac:dyDescent="0.2">
      <c r="A98" s="6"/>
      <c r="B98" s="6"/>
      <c r="C98" s="4" t="s">
        <v>213</v>
      </c>
      <c r="D98" s="34">
        <f t="shared" si="10"/>
        <v>2204310011</v>
      </c>
      <c r="E98" s="25" t="s">
        <v>420</v>
      </c>
      <c r="F98" s="25" t="s">
        <v>768</v>
      </c>
      <c r="G98" s="25" t="s">
        <v>709</v>
      </c>
      <c r="H98" s="112">
        <v>2204310011</v>
      </c>
    </row>
    <row r="99" spans="1:8" x14ac:dyDescent="0.2">
      <c r="A99" s="6"/>
      <c r="B99" s="6"/>
      <c r="C99" s="4" t="s">
        <v>214</v>
      </c>
      <c r="D99" s="34">
        <f t="shared" si="10"/>
        <v>2204310012</v>
      </c>
      <c r="E99" s="25" t="s">
        <v>417</v>
      </c>
      <c r="F99" s="25" t="s">
        <v>768</v>
      </c>
      <c r="G99" s="25" t="s">
        <v>709</v>
      </c>
      <c r="H99" s="112">
        <v>2204310012</v>
      </c>
    </row>
    <row r="100" spans="1:8" x14ac:dyDescent="0.2">
      <c r="A100" s="6"/>
      <c r="B100" s="6"/>
      <c r="C100" s="4" t="s">
        <v>215</v>
      </c>
      <c r="D100" s="34">
        <f t="shared" si="10"/>
        <v>2204310013</v>
      </c>
      <c r="E100" s="25" t="s">
        <v>410</v>
      </c>
      <c r="F100" s="25" t="s">
        <v>768</v>
      </c>
      <c r="G100" s="25" t="s">
        <v>709</v>
      </c>
      <c r="H100" s="112">
        <v>2204310013</v>
      </c>
    </row>
    <row r="101" spans="1:8" x14ac:dyDescent="0.2">
      <c r="A101" s="6"/>
      <c r="B101" s="6"/>
      <c r="C101" s="4" t="s">
        <v>216</v>
      </c>
      <c r="D101" s="34">
        <f t="shared" si="10"/>
        <v>2204310014</v>
      </c>
      <c r="E101" s="25" t="s">
        <v>406</v>
      </c>
      <c r="F101" s="25" t="s">
        <v>768</v>
      </c>
      <c r="G101" s="25" t="s">
        <v>709</v>
      </c>
      <c r="H101" s="112">
        <v>2204310014</v>
      </c>
    </row>
    <row r="102" spans="1:8" x14ac:dyDescent="0.2">
      <c r="A102" s="6"/>
      <c r="B102" s="6"/>
      <c r="C102" s="4" t="s">
        <v>217</v>
      </c>
      <c r="D102" s="34">
        <f t="shared" si="10"/>
        <v>2204310015</v>
      </c>
      <c r="E102" s="25" t="s">
        <v>418</v>
      </c>
      <c r="F102" s="25" t="s">
        <v>768</v>
      </c>
      <c r="G102" s="25" t="s">
        <v>709</v>
      </c>
      <c r="H102" s="112">
        <v>2204310015</v>
      </c>
    </row>
    <row r="103" spans="1:8" x14ac:dyDescent="0.2">
      <c r="A103" s="6"/>
      <c r="B103" s="6"/>
      <c r="C103" s="4" t="s">
        <v>218</v>
      </c>
      <c r="D103" s="34">
        <f t="shared" si="10"/>
        <v>2204310016</v>
      </c>
      <c r="E103" s="25" t="s">
        <v>419</v>
      </c>
      <c r="F103" s="25" t="s">
        <v>768</v>
      </c>
      <c r="G103" s="25" t="s">
        <v>709</v>
      </c>
      <c r="H103" s="112">
        <v>2204310016</v>
      </c>
    </row>
    <row r="104" spans="1:8" x14ac:dyDescent="0.2">
      <c r="A104" s="6"/>
      <c r="B104" s="6"/>
      <c r="C104" s="4" t="s">
        <v>219</v>
      </c>
      <c r="D104" s="34">
        <f t="shared" si="10"/>
        <v>2204310017</v>
      </c>
      <c r="E104" s="25" t="s">
        <v>416</v>
      </c>
      <c r="F104" s="25" t="s">
        <v>768</v>
      </c>
      <c r="G104" s="25" t="s">
        <v>709</v>
      </c>
      <c r="H104" s="112">
        <v>2204310017</v>
      </c>
    </row>
    <row r="105" spans="1:8" x14ac:dyDescent="0.2">
      <c r="A105" s="6"/>
      <c r="B105" s="6"/>
      <c r="C105" s="4" t="s">
        <v>220</v>
      </c>
      <c r="D105" s="34">
        <f t="shared" si="10"/>
        <v>2204310018</v>
      </c>
      <c r="E105" s="25" t="s">
        <v>407</v>
      </c>
      <c r="F105" s="25" t="s">
        <v>768</v>
      </c>
      <c r="G105" s="25" t="s">
        <v>709</v>
      </c>
      <c r="H105" s="112">
        <v>2204310018</v>
      </c>
    </row>
    <row r="106" spans="1:8" x14ac:dyDescent="0.2">
      <c r="A106" s="77"/>
      <c r="B106" s="78">
        <v>7200</v>
      </c>
      <c r="C106" s="71" t="s">
        <v>221</v>
      </c>
      <c r="D106" s="71"/>
      <c r="E106" s="71" t="s">
        <v>403</v>
      </c>
      <c r="F106" s="71"/>
      <c r="G106" s="71"/>
      <c r="H106" s="71"/>
    </row>
    <row r="107" spans="1:8" x14ac:dyDescent="0.2">
      <c r="A107" s="3"/>
      <c r="B107" s="2">
        <v>7500</v>
      </c>
      <c r="C107" s="2" t="s">
        <v>222</v>
      </c>
      <c r="D107" s="2"/>
      <c r="E107" s="61" t="s">
        <v>454</v>
      </c>
      <c r="F107" s="61"/>
      <c r="G107" s="61"/>
      <c r="H107" s="61"/>
    </row>
    <row r="108" spans="1:8" x14ac:dyDescent="0.2">
      <c r="A108" s="37"/>
      <c r="B108" s="37"/>
      <c r="C108" s="4" t="s">
        <v>223</v>
      </c>
      <c r="D108" s="34">
        <f t="shared" ref="D108:D110" si="11">H108</f>
        <v>2104310006</v>
      </c>
      <c r="E108" s="4" t="s">
        <v>442</v>
      </c>
      <c r="F108" s="4" t="s">
        <v>767</v>
      </c>
      <c r="G108" s="4" t="s">
        <v>709</v>
      </c>
      <c r="H108" s="112">
        <v>2104310006</v>
      </c>
    </row>
    <row r="109" spans="1:8" x14ac:dyDescent="0.2">
      <c r="A109" s="37"/>
      <c r="B109" s="37"/>
      <c r="C109" s="4" t="s">
        <v>224</v>
      </c>
      <c r="D109" s="34">
        <f t="shared" si="11"/>
        <v>2104310007</v>
      </c>
      <c r="E109" s="4" t="s">
        <v>443</v>
      </c>
      <c r="F109" s="4" t="s">
        <v>767</v>
      </c>
      <c r="G109" s="4" t="s">
        <v>709</v>
      </c>
      <c r="H109" s="112">
        <v>2104310007</v>
      </c>
    </row>
    <row r="110" spans="1:8" x14ac:dyDescent="0.2">
      <c r="A110" s="37"/>
      <c r="B110" s="37"/>
      <c r="C110" s="4" t="s">
        <v>225</v>
      </c>
      <c r="D110" s="34">
        <f t="shared" si="11"/>
        <v>2104310008</v>
      </c>
      <c r="E110" s="4" t="s">
        <v>444</v>
      </c>
      <c r="F110" s="4" t="s">
        <v>767</v>
      </c>
      <c r="G110" s="4" t="s">
        <v>709</v>
      </c>
      <c r="H110" s="112">
        <v>2104310008</v>
      </c>
    </row>
    <row r="111" spans="1:8" x14ac:dyDescent="0.2">
      <c r="A111" s="16"/>
      <c r="B111" s="16">
        <v>7501</v>
      </c>
      <c r="C111" s="5" t="s">
        <v>226</v>
      </c>
      <c r="D111" s="5"/>
      <c r="E111" s="5" t="s">
        <v>455</v>
      </c>
      <c r="F111" s="5"/>
      <c r="G111" s="5"/>
      <c r="H111" s="5"/>
    </row>
    <row r="112" spans="1:8" x14ac:dyDescent="0.2">
      <c r="A112" s="26"/>
      <c r="B112" s="26"/>
      <c r="C112" s="27" t="s">
        <v>634</v>
      </c>
      <c r="D112" s="27"/>
      <c r="E112" s="63" t="s">
        <v>244</v>
      </c>
      <c r="F112" s="63"/>
      <c r="G112" s="63"/>
      <c r="H112" s="63"/>
    </row>
    <row r="113" spans="1:9" x14ac:dyDescent="0.2">
      <c r="A113" s="6"/>
      <c r="B113" s="6"/>
      <c r="C113" s="4" t="s">
        <v>635</v>
      </c>
      <c r="D113" s="34">
        <f t="shared" ref="D113:D114" si="12">H113</f>
        <v>2104310009</v>
      </c>
      <c r="E113" s="25" t="s">
        <v>456</v>
      </c>
      <c r="F113" s="25" t="s">
        <v>767</v>
      </c>
      <c r="G113" s="25" t="s">
        <v>709</v>
      </c>
      <c r="H113" s="112">
        <v>2104310009</v>
      </c>
    </row>
    <row r="114" spans="1:9" x14ac:dyDescent="0.2">
      <c r="A114" s="6"/>
      <c r="B114" s="6"/>
      <c r="C114" s="4" t="s">
        <v>636</v>
      </c>
      <c r="D114" s="34">
        <f t="shared" si="12"/>
        <v>2104310010</v>
      </c>
      <c r="E114" s="25" t="s">
        <v>457</v>
      </c>
      <c r="F114" s="25" t="s">
        <v>767</v>
      </c>
      <c r="G114" s="25" t="s">
        <v>709</v>
      </c>
      <c r="H114" s="112">
        <v>2104310010</v>
      </c>
    </row>
    <row r="115" spans="1:9" x14ac:dyDescent="0.2">
      <c r="A115" s="16"/>
      <c r="B115" s="16"/>
      <c r="C115" s="5" t="s">
        <v>637</v>
      </c>
      <c r="D115" s="5"/>
      <c r="E115" s="69" t="s">
        <v>477</v>
      </c>
      <c r="F115" s="69"/>
      <c r="G115" s="69"/>
      <c r="H115" s="69"/>
    </row>
    <row r="116" spans="1:9" x14ac:dyDescent="0.2">
      <c r="A116" s="26"/>
      <c r="B116" s="26"/>
      <c r="C116" s="27" t="s">
        <v>227</v>
      </c>
      <c r="D116" s="27"/>
      <c r="E116" s="63" t="s">
        <v>125</v>
      </c>
      <c r="F116" s="63"/>
      <c r="G116" s="63"/>
      <c r="H116" s="63"/>
    </row>
    <row r="117" spans="1:9" x14ac:dyDescent="0.2">
      <c r="A117" s="6"/>
      <c r="B117" s="6"/>
      <c r="C117" s="4" t="s">
        <v>228</v>
      </c>
      <c r="D117" s="34">
        <f>H117</f>
        <v>2112000001</v>
      </c>
      <c r="E117" s="25" t="s">
        <v>125</v>
      </c>
      <c r="F117" s="25" t="s">
        <v>768</v>
      </c>
      <c r="G117" s="25" t="s">
        <v>709</v>
      </c>
      <c r="H117" s="112">
        <v>2112000001</v>
      </c>
      <c r="I117" s="1" t="s">
        <v>785</v>
      </c>
    </row>
    <row r="118" spans="1:9" x14ac:dyDescent="0.2">
      <c r="A118" s="16"/>
      <c r="B118" s="16"/>
      <c r="C118" s="5" t="s">
        <v>229</v>
      </c>
      <c r="D118" s="5"/>
      <c r="E118" s="69" t="s">
        <v>476</v>
      </c>
      <c r="F118" s="69"/>
      <c r="G118" s="69"/>
      <c r="H118" s="69"/>
    </row>
    <row r="119" spans="1:9" x14ac:dyDescent="0.2">
      <c r="A119" s="26"/>
      <c r="B119" s="27">
        <v>7000</v>
      </c>
      <c r="C119" s="27" t="s">
        <v>625</v>
      </c>
      <c r="D119" s="27"/>
      <c r="E119" s="63" t="s">
        <v>19</v>
      </c>
      <c r="F119" s="63"/>
      <c r="G119" s="63"/>
      <c r="H119" s="63"/>
    </row>
    <row r="120" spans="1:9" s="29" customFormat="1" x14ac:dyDescent="0.2">
      <c r="A120" s="4"/>
      <c r="B120" s="4">
        <v>7001</v>
      </c>
      <c r="C120" s="4" t="s">
        <v>626</v>
      </c>
      <c r="D120" s="34">
        <f t="shared" ref="D120:D129" si="13">H120</f>
        <v>2204310019</v>
      </c>
      <c r="E120" s="25" t="s">
        <v>55</v>
      </c>
      <c r="F120" s="25" t="s">
        <v>768</v>
      </c>
      <c r="G120" s="25" t="s">
        <v>709</v>
      </c>
      <c r="H120" s="112">
        <v>2204310019</v>
      </c>
    </row>
    <row r="121" spans="1:9" x14ac:dyDescent="0.2">
      <c r="A121" s="6"/>
      <c r="B121" s="6">
        <v>7002</v>
      </c>
      <c r="C121" s="113" t="s">
        <v>627</v>
      </c>
      <c r="D121" s="115">
        <f t="shared" si="13"/>
        <v>0</v>
      </c>
      <c r="E121" s="116" t="s">
        <v>473</v>
      </c>
      <c r="F121" s="116" t="s">
        <v>768</v>
      </c>
      <c r="G121" s="116" t="s">
        <v>709</v>
      </c>
      <c r="H121" s="116"/>
    </row>
    <row r="122" spans="1:9" x14ac:dyDescent="0.2">
      <c r="A122" s="6"/>
      <c r="B122" s="6">
        <v>7004</v>
      </c>
      <c r="C122" s="4" t="s">
        <v>628</v>
      </c>
      <c r="D122" s="34">
        <f t="shared" si="13"/>
        <v>2204310020</v>
      </c>
      <c r="E122" s="25" t="s">
        <v>56</v>
      </c>
      <c r="F122" s="25" t="s">
        <v>768</v>
      </c>
      <c r="G122" s="25" t="s">
        <v>709</v>
      </c>
      <c r="H122" s="112">
        <v>2204310020</v>
      </c>
    </row>
    <row r="123" spans="1:9" x14ac:dyDescent="0.2">
      <c r="A123" s="6"/>
      <c r="B123" s="6"/>
      <c r="C123" s="4" t="s">
        <v>629</v>
      </c>
      <c r="D123" s="34">
        <f t="shared" si="13"/>
        <v>2204310021</v>
      </c>
      <c r="E123" s="25" t="s">
        <v>128</v>
      </c>
      <c r="F123" s="25" t="s">
        <v>768</v>
      </c>
      <c r="G123" s="25" t="s">
        <v>709</v>
      </c>
      <c r="H123" s="112">
        <v>2204310021</v>
      </c>
    </row>
    <row r="124" spans="1:9" x14ac:dyDescent="0.2">
      <c r="A124" s="6"/>
      <c r="B124" s="6"/>
      <c r="C124" s="4" t="s">
        <v>630</v>
      </c>
      <c r="D124" s="34">
        <f t="shared" si="13"/>
        <v>2204310022</v>
      </c>
      <c r="E124" s="25" t="s">
        <v>401</v>
      </c>
      <c r="F124" s="25" t="s">
        <v>768</v>
      </c>
      <c r="G124" s="25" t="s">
        <v>709</v>
      </c>
      <c r="H124" s="112">
        <v>2204310022</v>
      </c>
    </row>
    <row r="125" spans="1:9" x14ac:dyDescent="0.2">
      <c r="A125" s="6"/>
      <c r="B125" s="6"/>
      <c r="C125" s="4" t="s">
        <v>631</v>
      </c>
      <c r="D125" s="34">
        <f t="shared" si="13"/>
        <v>2204310023</v>
      </c>
      <c r="E125" s="25" t="s">
        <v>474</v>
      </c>
      <c r="F125" s="25" t="s">
        <v>768</v>
      </c>
      <c r="G125" s="25" t="s">
        <v>709</v>
      </c>
      <c r="H125" s="112">
        <v>2204310023</v>
      </c>
    </row>
    <row r="126" spans="1:9" x14ac:dyDescent="0.2">
      <c r="A126" s="6"/>
      <c r="B126" s="6"/>
      <c r="C126" s="4" t="s">
        <v>632</v>
      </c>
      <c r="D126" s="34">
        <f t="shared" si="13"/>
        <v>2204310024</v>
      </c>
      <c r="E126" s="25" t="s">
        <v>475</v>
      </c>
      <c r="F126" s="25" t="s">
        <v>768</v>
      </c>
      <c r="G126" s="25" t="s">
        <v>709</v>
      </c>
      <c r="H126" s="112">
        <v>2204310024</v>
      </c>
    </row>
    <row r="127" spans="1:9" x14ac:dyDescent="0.2">
      <c r="A127" s="93"/>
      <c r="B127" s="93"/>
      <c r="C127" s="4" t="s">
        <v>716</v>
      </c>
      <c r="D127" s="34">
        <f t="shared" si="13"/>
        <v>2103310004</v>
      </c>
      <c r="E127" s="25" t="s">
        <v>717</v>
      </c>
      <c r="F127" s="25" t="s">
        <v>767</v>
      </c>
      <c r="G127" s="25" t="s">
        <v>709</v>
      </c>
      <c r="H127" s="112">
        <v>2103310004</v>
      </c>
    </row>
    <row r="128" spans="1:9" x14ac:dyDescent="0.2">
      <c r="A128" s="93"/>
      <c r="B128" s="93"/>
      <c r="C128" s="4" t="s">
        <v>725</v>
      </c>
      <c r="D128" s="34">
        <f t="shared" si="13"/>
        <v>2103310005</v>
      </c>
      <c r="E128" s="25" t="s">
        <v>726</v>
      </c>
      <c r="F128" s="25" t="s">
        <v>767</v>
      </c>
      <c r="G128" s="25" t="s">
        <v>709</v>
      </c>
      <c r="H128" s="112">
        <v>2103310005</v>
      </c>
    </row>
    <row r="129" spans="1:8" x14ac:dyDescent="0.2">
      <c r="A129" s="93"/>
      <c r="B129" s="93"/>
      <c r="C129" s="4" t="s">
        <v>765</v>
      </c>
      <c r="D129" s="34">
        <f t="shared" si="13"/>
        <v>2204310025</v>
      </c>
      <c r="E129" s="25" t="s">
        <v>743</v>
      </c>
      <c r="F129" s="25" t="s">
        <v>768</v>
      </c>
      <c r="G129" s="25" t="s">
        <v>709</v>
      </c>
      <c r="H129" s="112">
        <v>2204310025</v>
      </c>
    </row>
    <row r="130" spans="1:8" x14ac:dyDescent="0.2">
      <c r="A130" s="59"/>
      <c r="B130" s="60">
        <v>5100</v>
      </c>
      <c r="C130" s="71" t="s">
        <v>633</v>
      </c>
      <c r="D130" s="71"/>
      <c r="E130" s="71" t="s">
        <v>35</v>
      </c>
      <c r="F130" s="71"/>
      <c r="G130" s="71"/>
      <c r="H130" s="71"/>
    </row>
    <row r="131" spans="1:8" x14ac:dyDescent="0.2">
      <c r="A131" s="3"/>
      <c r="B131" s="3">
        <v>8399</v>
      </c>
      <c r="C131" s="5" t="s">
        <v>230</v>
      </c>
      <c r="D131" s="5"/>
      <c r="E131" s="69" t="s">
        <v>36</v>
      </c>
      <c r="F131" s="69"/>
      <c r="G131" s="69"/>
      <c r="H131" s="69"/>
    </row>
    <row r="132" spans="1:8" x14ac:dyDescent="0.2">
      <c r="A132" s="3"/>
      <c r="B132" s="44">
        <v>8400</v>
      </c>
      <c r="C132" s="5" t="s">
        <v>231</v>
      </c>
      <c r="D132" s="5"/>
      <c r="E132" s="5" t="s">
        <v>57</v>
      </c>
      <c r="F132" s="5"/>
      <c r="G132" s="5"/>
      <c r="H132" s="5"/>
    </row>
    <row r="133" spans="1:8" x14ac:dyDescent="0.2">
      <c r="A133" s="3"/>
      <c r="B133" s="2">
        <v>8480</v>
      </c>
      <c r="C133" s="2" t="s">
        <v>232</v>
      </c>
      <c r="D133" s="2"/>
      <c r="E133" s="2" t="s">
        <v>78</v>
      </c>
      <c r="F133" s="2"/>
      <c r="G133" s="2"/>
      <c r="H133" s="2"/>
    </row>
    <row r="134" spans="1:8" x14ac:dyDescent="0.2">
      <c r="A134" s="6"/>
      <c r="B134" s="6">
        <v>8485</v>
      </c>
      <c r="C134" s="4" t="s">
        <v>233</v>
      </c>
      <c r="D134" s="34">
        <f>H134</f>
        <v>0</v>
      </c>
      <c r="E134" s="4" t="s">
        <v>78</v>
      </c>
      <c r="F134" s="4"/>
      <c r="G134" s="4"/>
      <c r="H134" s="4"/>
    </row>
    <row r="135" spans="1:8" x14ac:dyDescent="0.2">
      <c r="A135" s="3"/>
      <c r="B135" s="44">
        <v>8490</v>
      </c>
      <c r="C135" s="5" t="s">
        <v>234</v>
      </c>
      <c r="D135" s="5"/>
      <c r="E135" s="5" t="s">
        <v>79</v>
      </c>
      <c r="F135" s="5"/>
      <c r="G135" s="5"/>
      <c r="H135" s="5"/>
    </row>
    <row r="136" spans="1:8" x14ac:dyDescent="0.2">
      <c r="A136" s="3"/>
      <c r="B136" s="44">
        <v>8500</v>
      </c>
      <c r="C136" s="5" t="s">
        <v>235</v>
      </c>
      <c r="D136" s="5"/>
      <c r="E136" s="5" t="s">
        <v>58</v>
      </c>
      <c r="F136" s="5"/>
      <c r="G136" s="5"/>
      <c r="H136" s="5"/>
    </row>
  </sheetData>
  <autoFilter ref="C2:H136" xr:uid="{3EF260B4-400E-4619-8158-CADA702807E9}"/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2707-DF65-4299-A86C-00CE92296BCB}">
  <sheetPr>
    <pageSetUpPr autoPageBreaks="0"/>
  </sheetPr>
  <dimension ref="A1:G113"/>
  <sheetViews>
    <sheetView zoomScale="102" workbookViewId="0">
      <pane xSplit="5" ySplit="2" topLeftCell="F62" activePane="bottomRight" state="frozen"/>
      <selection activeCell="G50" sqref="G50"/>
      <selection pane="topRight" activeCell="G50" sqref="G50"/>
      <selection pane="bottomLeft" activeCell="G50" sqref="G50"/>
      <selection pane="bottomRight" activeCell="G93" sqref="G93"/>
    </sheetView>
  </sheetViews>
  <sheetFormatPr defaultRowHeight="12" x14ac:dyDescent="0.2"/>
  <cols>
    <col min="1" max="1" width="5.85546875" style="1" hidden="1" customWidth="1"/>
    <col min="2" max="2" width="10" style="1" hidden="1" customWidth="1"/>
    <col min="3" max="3" width="11.5703125" style="1" bestFit="1" customWidth="1"/>
    <col min="4" max="4" width="13.5703125" style="1" bestFit="1" customWidth="1"/>
    <col min="5" max="7" width="32.42578125" style="1" bestFit="1" customWidth="1"/>
    <col min="8" max="16384" width="9.140625" style="1"/>
  </cols>
  <sheetData>
    <row r="1" spans="1:7" ht="12.75" thickBot="1" x14ac:dyDescent="0.25"/>
    <row r="2" spans="1:7" x14ac:dyDescent="0.2">
      <c r="A2" s="15" t="s">
        <v>28</v>
      </c>
      <c r="B2" s="15" t="s">
        <v>27</v>
      </c>
      <c r="C2" s="17" t="s">
        <v>31</v>
      </c>
      <c r="D2" s="17" t="s">
        <v>703</v>
      </c>
      <c r="E2" s="11" t="s">
        <v>704</v>
      </c>
      <c r="F2" s="11" t="s">
        <v>778</v>
      </c>
      <c r="G2" s="11" t="s">
        <v>784</v>
      </c>
    </row>
    <row r="3" spans="1:7" x14ac:dyDescent="0.2">
      <c r="A3" s="3">
        <v>10</v>
      </c>
      <c r="B3" s="18" t="s">
        <v>33</v>
      </c>
      <c r="C3" s="2" t="s">
        <v>658</v>
      </c>
      <c r="D3" s="2"/>
      <c r="E3" s="62" t="s">
        <v>503</v>
      </c>
      <c r="F3" s="62"/>
      <c r="G3" s="62"/>
    </row>
    <row r="4" spans="1:7" x14ac:dyDescent="0.2">
      <c r="A4" s="3">
        <v>10</v>
      </c>
      <c r="B4" s="18" t="s">
        <v>63</v>
      </c>
      <c r="C4" s="2" t="s">
        <v>659</v>
      </c>
      <c r="D4" s="2"/>
      <c r="E4" s="62" t="s">
        <v>62</v>
      </c>
      <c r="F4" s="62"/>
      <c r="G4" s="62"/>
    </row>
    <row r="5" spans="1:7" x14ac:dyDescent="0.2">
      <c r="A5" s="3">
        <v>10</v>
      </c>
      <c r="B5" s="18" t="s">
        <v>64</v>
      </c>
      <c r="C5" s="2" t="s">
        <v>660</v>
      </c>
      <c r="D5" s="2"/>
      <c r="E5" s="62" t="s">
        <v>65</v>
      </c>
      <c r="F5" s="62"/>
      <c r="G5" s="62"/>
    </row>
    <row r="6" spans="1:7" x14ac:dyDescent="0.2">
      <c r="A6" s="6">
        <v>10</v>
      </c>
      <c r="B6" s="23">
        <v>30</v>
      </c>
      <c r="C6" s="4" t="s">
        <v>676</v>
      </c>
      <c r="D6" s="4"/>
      <c r="E6" s="4" t="s">
        <v>495</v>
      </c>
      <c r="F6" s="4" t="s">
        <v>781</v>
      </c>
      <c r="G6" s="4">
        <v>4001310004</v>
      </c>
    </row>
    <row r="7" spans="1:7" x14ac:dyDescent="0.2">
      <c r="A7" s="6"/>
      <c r="B7" s="23">
        <v>40</v>
      </c>
      <c r="C7" s="4" t="s">
        <v>483</v>
      </c>
      <c r="D7" s="4"/>
      <c r="E7" s="4" t="s">
        <v>496</v>
      </c>
      <c r="F7" s="4" t="s">
        <v>781</v>
      </c>
      <c r="G7" s="4">
        <v>4001310005</v>
      </c>
    </row>
    <row r="8" spans="1:7" x14ac:dyDescent="0.2">
      <c r="A8" s="6"/>
      <c r="B8" s="23">
        <v>50</v>
      </c>
      <c r="C8" s="4" t="s">
        <v>484</v>
      </c>
      <c r="D8" s="4"/>
      <c r="E8" s="4" t="s">
        <v>497</v>
      </c>
      <c r="F8" s="4" t="s">
        <v>781</v>
      </c>
      <c r="G8" s="4">
        <v>4001310006</v>
      </c>
    </row>
    <row r="9" spans="1:7" x14ac:dyDescent="0.2">
      <c r="A9" s="16">
        <v>120</v>
      </c>
      <c r="B9" s="19" t="s">
        <v>163</v>
      </c>
      <c r="C9" s="5" t="s">
        <v>661</v>
      </c>
      <c r="D9" s="5"/>
      <c r="E9" s="5" t="s">
        <v>66</v>
      </c>
      <c r="F9" s="5"/>
      <c r="G9" s="5"/>
    </row>
    <row r="10" spans="1:7" x14ac:dyDescent="0.2">
      <c r="A10" s="3">
        <v>10</v>
      </c>
      <c r="B10" s="18" t="s">
        <v>64</v>
      </c>
      <c r="C10" s="2" t="s">
        <v>677</v>
      </c>
      <c r="D10" s="2"/>
      <c r="E10" s="62" t="s">
        <v>501</v>
      </c>
      <c r="F10" s="62"/>
      <c r="G10" s="62"/>
    </row>
    <row r="11" spans="1:7" x14ac:dyDescent="0.2">
      <c r="A11" s="6">
        <v>10</v>
      </c>
      <c r="B11" s="23">
        <v>505</v>
      </c>
      <c r="C11" s="4" t="s">
        <v>678</v>
      </c>
      <c r="D11" s="4"/>
      <c r="E11" s="4" t="s">
        <v>498</v>
      </c>
      <c r="F11" s="4" t="s">
        <v>781</v>
      </c>
      <c r="G11" s="4">
        <v>4001310007</v>
      </c>
    </row>
    <row r="12" spans="1:7" x14ac:dyDescent="0.2">
      <c r="A12" s="6"/>
      <c r="B12" s="23">
        <v>510</v>
      </c>
      <c r="C12" s="4" t="s">
        <v>679</v>
      </c>
      <c r="D12" s="4"/>
      <c r="E12" s="4" t="s">
        <v>499</v>
      </c>
      <c r="F12" s="4" t="s">
        <v>781</v>
      </c>
      <c r="G12" s="4">
        <v>4001310008</v>
      </c>
    </row>
    <row r="13" spans="1:7" x14ac:dyDescent="0.2">
      <c r="A13" s="6"/>
      <c r="B13" s="23">
        <v>515</v>
      </c>
      <c r="C13" s="4" t="s">
        <v>680</v>
      </c>
      <c r="D13" s="4"/>
      <c r="E13" s="4" t="s">
        <v>500</v>
      </c>
      <c r="F13" s="4" t="s">
        <v>781</v>
      </c>
      <c r="G13" s="4">
        <v>4001310009</v>
      </c>
    </row>
    <row r="14" spans="1:7" x14ac:dyDescent="0.2">
      <c r="A14" s="16">
        <v>120</v>
      </c>
      <c r="B14" s="19" t="s">
        <v>163</v>
      </c>
      <c r="C14" s="5" t="s">
        <v>681</v>
      </c>
      <c r="D14" s="5"/>
      <c r="E14" s="5" t="s">
        <v>502</v>
      </c>
      <c r="F14" s="5"/>
      <c r="G14" s="5"/>
    </row>
    <row r="15" spans="1:7" x14ac:dyDescent="0.2">
      <c r="A15" s="16">
        <v>120</v>
      </c>
      <c r="B15" s="16">
        <v>1500</v>
      </c>
      <c r="C15" s="5" t="s">
        <v>662</v>
      </c>
      <c r="D15" s="5"/>
      <c r="E15" s="5" t="s">
        <v>67</v>
      </c>
      <c r="F15" s="5"/>
      <c r="G15" s="5"/>
    </row>
    <row r="16" spans="1:7" x14ac:dyDescent="0.2">
      <c r="A16" s="3">
        <v>10</v>
      </c>
      <c r="B16" s="18">
        <v>1510</v>
      </c>
      <c r="C16" s="2" t="s">
        <v>663</v>
      </c>
      <c r="D16" s="2"/>
      <c r="E16" s="62" t="s">
        <v>488</v>
      </c>
      <c r="F16" s="62"/>
      <c r="G16" s="62"/>
    </row>
    <row r="17" spans="1:7" x14ac:dyDescent="0.2">
      <c r="A17" s="6">
        <v>10</v>
      </c>
      <c r="B17" s="74" t="e">
        <f>+A17+#REF!</f>
        <v>#REF!</v>
      </c>
      <c r="C17" s="4" t="s">
        <v>664</v>
      </c>
      <c r="D17" s="4"/>
      <c r="E17" s="4" t="s">
        <v>485</v>
      </c>
      <c r="F17" s="4" t="s">
        <v>781</v>
      </c>
      <c r="G17" s="4">
        <v>4001310010</v>
      </c>
    </row>
    <row r="18" spans="1:7" x14ac:dyDescent="0.2">
      <c r="A18" s="6">
        <v>10</v>
      </c>
      <c r="B18" s="74" t="e">
        <f>+A18+#REF!</f>
        <v>#REF!</v>
      </c>
      <c r="C18" s="4" t="s">
        <v>665</v>
      </c>
      <c r="D18" s="4"/>
      <c r="E18" s="4" t="s">
        <v>486</v>
      </c>
      <c r="F18" s="4" t="s">
        <v>781</v>
      </c>
      <c r="G18" s="4">
        <v>4001310011</v>
      </c>
    </row>
    <row r="19" spans="1:7" x14ac:dyDescent="0.2">
      <c r="A19" s="6">
        <v>10</v>
      </c>
      <c r="B19" s="74" t="e">
        <f>+A19+#REF!</f>
        <v>#REF!</v>
      </c>
      <c r="C19" s="4" t="s">
        <v>666</v>
      </c>
      <c r="D19" s="4"/>
      <c r="E19" s="4" t="s">
        <v>487</v>
      </c>
      <c r="F19" s="4" t="s">
        <v>781</v>
      </c>
      <c r="G19" s="4">
        <v>4001310012</v>
      </c>
    </row>
    <row r="20" spans="1:7" x14ac:dyDescent="0.2">
      <c r="A20" s="16">
        <v>120</v>
      </c>
      <c r="B20" s="74">
        <v>1590</v>
      </c>
      <c r="C20" s="5" t="s">
        <v>667</v>
      </c>
      <c r="D20" s="5"/>
      <c r="E20" s="5" t="s">
        <v>489</v>
      </c>
      <c r="F20" s="5"/>
      <c r="G20" s="5"/>
    </row>
    <row r="21" spans="1:7" x14ac:dyDescent="0.2">
      <c r="A21" s="3">
        <v>10</v>
      </c>
      <c r="B21" s="18">
        <v>1510</v>
      </c>
      <c r="C21" s="2" t="s">
        <v>668</v>
      </c>
      <c r="D21" s="2"/>
      <c r="E21" s="62" t="s">
        <v>490</v>
      </c>
      <c r="F21" s="62"/>
      <c r="G21" s="62"/>
    </row>
    <row r="22" spans="1:7" x14ac:dyDescent="0.2">
      <c r="A22" s="6">
        <v>10</v>
      </c>
      <c r="B22" s="74" t="e">
        <f>+A22+#REF!</f>
        <v>#REF!</v>
      </c>
      <c r="C22" s="4" t="s">
        <v>669</v>
      </c>
      <c r="D22" s="4"/>
      <c r="E22" s="4" t="s">
        <v>491</v>
      </c>
      <c r="F22" s="4" t="s">
        <v>781</v>
      </c>
      <c r="G22" s="4">
        <v>4001310013</v>
      </c>
    </row>
    <row r="23" spans="1:7" x14ac:dyDescent="0.2">
      <c r="A23" s="6">
        <v>10</v>
      </c>
      <c r="B23" s="74" t="e">
        <f>+A23+#REF!</f>
        <v>#REF!</v>
      </c>
      <c r="C23" s="4" t="s">
        <v>682</v>
      </c>
      <c r="D23" s="4"/>
      <c r="E23" s="4" t="s">
        <v>492</v>
      </c>
      <c r="F23" s="4" t="s">
        <v>781</v>
      </c>
      <c r="G23" s="4">
        <v>4001310014</v>
      </c>
    </row>
    <row r="24" spans="1:7" x14ac:dyDescent="0.2">
      <c r="A24" s="6">
        <v>10</v>
      </c>
      <c r="B24" s="74" t="e">
        <f>+A24+#REF!</f>
        <v>#REF!</v>
      </c>
      <c r="C24" s="4" t="s">
        <v>670</v>
      </c>
      <c r="D24" s="4"/>
      <c r="E24" s="4" t="s">
        <v>493</v>
      </c>
      <c r="F24" s="4" t="s">
        <v>781</v>
      </c>
      <c r="G24" s="4">
        <v>4001310015</v>
      </c>
    </row>
    <row r="25" spans="1:7" x14ac:dyDescent="0.2">
      <c r="A25" s="16">
        <v>120</v>
      </c>
      <c r="B25" s="74">
        <v>1590</v>
      </c>
      <c r="C25" s="5" t="s">
        <v>671</v>
      </c>
      <c r="D25" s="5"/>
      <c r="E25" s="5" t="s">
        <v>494</v>
      </c>
      <c r="F25" s="5"/>
      <c r="G25" s="5"/>
    </row>
    <row r="26" spans="1:7" x14ac:dyDescent="0.2">
      <c r="A26" s="3">
        <v>10</v>
      </c>
      <c r="B26" s="18">
        <v>1600</v>
      </c>
      <c r="C26" s="2" t="s">
        <v>683</v>
      </c>
      <c r="D26" s="2"/>
      <c r="E26" s="62" t="s">
        <v>68</v>
      </c>
      <c r="F26" s="62"/>
      <c r="G26" s="62"/>
    </row>
    <row r="27" spans="1:7" x14ac:dyDescent="0.2">
      <c r="A27" s="6"/>
      <c r="B27" s="23"/>
      <c r="C27" s="4" t="s">
        <v>684</v>
      </c>
      <c r="D27" s="4"/>
      <c r="E27" s="4" t="s">
        <v>241</v>
      </c>
      <c r="F27" s="4" t="s">
        <v>781</v>
      </c>
      <c r="G27" s="4">
        <v>4001310016</v>
      </c>
    </row>
    <row r="28" spans="1:7" x14ac:dyDescent="0.2">
      <c r="A28" s="6"/>
      <c r="B28" s="23"/>
      <c r="C28" s="4" t="s">
        <v>685</v>
      </c>
      <c r="D28" s="4"/>
      <c r="E28" s="4" t="s">
        <v>242</v>
      </c>
      <c r="F28" s="4" t="s">
        <v>781</v>
      </c>
      <c r="G28" s="4">
        <v>4001310017</v>
      </c>
    </row>
    <row r="29" spans="1:7" x14ac:dyDescent="0.2">
      <c r="A29" s="6"/>
      <c r="B29" s="23"/>
      <c r="C29" s="4" t="s">
        <v>686</v>
      </c>
      <c r="D29" s="4"/>
      <c r="E29" s="4" t="s">
        <v>243</v>
      </c>
      <c r="F29" s="4" t="s">
        <v>781</v>
      </c>
      <c r="G29" s="4">
        <v>4001310018</v>
      </c>
    </row>
    <row r="30" spans="1:7" x14ac:dyDescent="0.2">
      <c r="A30" s="6"/>
      <c r="B30" s="23"/>
      <c r="C30" s="4" t="s">
        <v>687</v>
      </c>
      <c r="D30" s="4"/>
      <c r="E30" s="4" t="s">
        <v>244</v>
      </c>
      <c r="F30" s="4" t="s">
        <v>781</v>
      </c>
      <c r="G30" s="4">
        <v>4001310019</v>
      </c>
    </row>
    <row r="31" spans="1:7" x14ac:dyDescent="0.2">
      <c r="A31" s="6"/>
      <c r="B31" s="23"/>
      <c r="C31" s="4" t="s">
        <v>688</v>
      </c>
      <c r="D31" s="4"/>
      <c r="E31" s="4" t="s">
        <v>245</v>
      </c>
      <c r="F31" s="4" t="s">
        <v>781</v>
      </c>
      <c r="G31" s="4">
        <v>4001310020</v>
      </c>
    </row>
    <row r="32" spans="1:7" x14ac:dyDescent="0.2">
      <c r="A32" s="6"/>
      <c r="B32" s="23"/>
      <c r="C32" s="4" t="s">
        <v>689</v>
      </c>
      <c r="D32" s="4"/>
      <c r="E32" s="4" t="s">
        <v>246</v>
      </c>
      <c r="F32" s="4" t="s">
        <v>781</v>
      </c>
      <c r="G32" s="4">
        <v>4002310006</v>
      </c>
    </row>
    <row r="33" spans="1:7" x14ac:dyDescent="0.2">
      <c r="A33" s="6"/>
      <c r="B33" s="23"/>
      <c r="C33" s="4" t="s">
        <v>690</v>
      </c>
      <c r="D33" s="4"/>
      <c r="E33" s="4" t="s">
        <v>247</v>
      </c>
      <c r="F33" s="4" t="s">
        <v>781</v>
      </c>
      <c r="G33" s="4">
        <v>4002310007</v>
      </c>
    </row>
    <row r="34" spans="1:7" x14ac:dyDescent="0.2">
      <c r="A34" s="6"/>
      <c r="B34" s="23"/>
      <c r="C34" s="4" t="s">
        <v>691</v>
      </c>
      <c r="D34" s="4"/>
      <c r="E34" s="4" t="s">
        <v>248</v>
      </c>
      <c r="F34" s="4" t="s">
        <v>781</v>
      </c>
      <c r="G34" s="4">
        <v>4002310008</v>
      </c>
    </row>
    <row r="35" spans="1:7" x14ac:dyDescent="0.2">
      <c r="A35" s="6"/>
      <c r="B35" s="23"/>
      <c r="C35" s="4" t="s">
        <v>692</v>
      </c>
      <c r="D35" s="4"/>
      <c r="E35" s="4" t="s">
        <v>249</v>
      </c>
      <c r="F35" s="4" t="s">
        <v>781</v>
      </c>
      <c r="G35" s="4">
        <v>4002310009</v>
      </c>
    </row>
    <row r="36" spans="1:7" x14ac:dyDescent="0.2">
      <c r="A36" s="6"/>
      <c r="B36" s="23"/>
      <c r="C36" s="4" t="s">
        <v>672</v>
      </c>
      <c r="D36" s="4"/>
      <c r="E36" s="4" t="s">
        <v>250</v>
      </c>
      <c r="F36" s="4" t="s">
        <v>781</v>
      </c>
      <c r="G36" s="4">
        <v>4002310010</v>
      </c>
    </row>
    <row r="37" spans="1:7" x14ac:dyDescent="0.2">
      <c r="A37" s="16">
        <v>120</v>
      </c>
      <c r="B37" s="16">
        <v>2000</v>
      </c>
      <c r="C37" s="5" t="s">
        <v>693</v>
      </c>
      <c r="D37" s="5"/>
      <c r="E37" s="5" t="s">
        <v>69</v>
      </c>
      <c r="F37" s="5"/>
      <c r="G37" s="5"/>
    </row>
    <row r="38" spans="1:7" x14ac:dyDescent="0.2">
      <c r="A38" s="3">
        <v>10</v>
      </c>
      <c r="B38" s="18">
        <v>1600</v>
      </c>
      <c r="C38" s="2" t="s">
        <v>746</v>
      </c>
      <c r="D38" s="2"/>
      <c r="E38" s="62" t="s">
        <v>747</v>
      </c>
      <c r="F38" s="62"/>
      <c r="G38" s="62"/>
    </row>
    <row r="39" spans="1:7" x14ac:dyDescent="0.2">
      <c r="A39" s="6"/>
      <c r="B39" s="23"/>
      <c r="C39" s="36" t="s">
        <v>774</v>
      </c>
      <c r="D39" s="4"/>
      <c r="E39" s="4" t="s">
        <v>748</v>
      </c>
      <c r="F39" s="4" t="s">
        <v>781</v>
      </c>
      <c r="G39" s="4">
        <v>4002310011</v>
      </c>
    </row>
    <row r="40" spans="1:7" x14ac:dyDescent="0.2">
      <c r="A40" s="6"/>
      <c r="B40" s="23"/>
      <c r="C40" s="36" t="s">
        <v>775</v>
      </c>
      <c r="D40" s="4"/>
      <c r="E40" s="4" t="s">
        <v>749</v>
      </c>
      <c r="F40" s="4" t="s">
        <v>781</v>
      </c>
      <c r="G40" s="4">
        <v>4002310012</v>
      </c>
    </row>
    <row r="41" spans="1:7" x14ac:dyDescent="0.2">
      <c r="A41" s="6"/>
      <c r="B41" s="23"/>
      <c r="C41" s="36" t="s">
        <v>776</v>
      </c>
      <c r="D41" s="4"/>
      <c r="E41" s="4" t="s">
        <v>750</v>
      </c>
      <c r="F41" s="4" t="s">
        <v>781</v>
      </c>
      <c r="G41" s="4">
        <v>4002310013</v>
      </c>
    </row>
    <row r="42" spans="1:7" x14ac:dyDescent="0.2">
      <c r="A42" s="6"/>
      <c r="B42" s="23"/>
      <c r="C42" s="36" t="s">
        <v>777</v>
      </c>
      <c r="D42" s="4"/>
      <c r="E42" s="4" t="s">
        <v>751</v>
      </c>
      <c r="F42" s="4" t="s">
        <v>781</v>
      </c>
      <c r="G42" s="4">
        <v>4002310014</v>
      </c>
    </row>
    <row r="43" spans="1:7" x14ac:dyDescent="0.2">
      <c r="A43" s="16">
        <v>120</v>
      </c>
      <c r="B43" s="16">
        <v>2000</v>
      </c>
      <c r="C43" s="36" t="s">
        <v>753</v>
      </c>
      <c r="D43" s="5"/>
      <c r="E43" s="5" t="s">
        <v>752</v>
      </c>
      <c r="F43" s="5"/>
      <c r="G43" s="5"/>
    </row>
    <row r="44" spans="1:7" x14ac:dyDescent="0.2">
      <c r="A44" s="16">
        <v>120</v>
      </c>
      <c r="B44" s="16">
        <v>4000</v>
      </c>
      <c r="C44" s="5" t="s">
        <v>673</v>
      </c>
      <c r="D44" s="5"/>
      <c r="E44" s="5" t="s">
        <v>70</v>
      </c>
      <c r="F44" s="5"/>
      <c r="G44" s="5"/>
    </row>
    <row r="45" spans="1:7" x14ac:dyDescent="0.2">
      <c r="A45" s="3">
        <v>10</v>
      </c>
      <c r="B45" s="18">
        <v>4010</v>
      </c>
      <c r="C45" s="2" t="s">
        <v>674</v>
      </c>
      <c r="D45" s="2"/>
      <c r="E45" s="62" t="s">
        <v>20</v>
      </c>
      <c r="F45" s="62"/>
      <c r="G45" s="62"/>
    </row>
    <row r="46" spans="1:7" x14ac:dyDescent="0.2">
      <c r="A46" s="3">
        <v>10</v>
      </c>
      <c r="B46" s="18">
        <v>4050</v>
      </c>
      <c r="C46" s="2" t="s">
        <v>675</v>
      </c>
      <c r="D46" s="2"/>
      <c r="E46" s="62" t="s">
        <v>71</v>
      </c>
      <c r="F46" s="62"/>
      <c r="G46" s="62"/>
    </row>
    <row r="47" spans="1:7" x14ac:dyDescent="0.2">
      <c r="A47" s="3"/>
      <c r="B47" s="18">
        <v>4100</v>
      </c>
      <c r="C47" s="2" t="s">
        <v>315</v>
      </c>
      <c r="D47" s="2"/>
      <c r="E47" s="62" t="s">
        <v>264</v>
      </c>
      <c r="F47" s="62"/>
      <c r="G47" s="62"/>
    </row>
    <row r="48" spans="1:7" x14ac:dyDescent="0.2">
      <c r="A48" s="6"/>
      <c r="B48" s="23">
        <v>4110</v>
      </c>
      <c r="C48" s="4" t="s">
        <v>316</v>
      </c>
      <c r="D48" s="4"/>
      <c r="E48" s="4" t="s">
        <v>256</v>
      </c>
      <c r="F48" s="4" t="s">
        <v>782</v>
      </c>
      <c r="G48" s="4">
        <v>5003310110</v>
      </c>
    </row>
    <row r="49" spans="1:7" x14ac:dyDescent="0.2">
      <c r="A49" s="6"/>
      <c r="B49" s="23"/>
      <c r="C49" s="4" t="s">
        <v>317</v>
      </c>
      <c r="D49" s="4"/>
      <c r="E49" s="4" t="s">
        <v>251</v>
      </c>
      <c r="F49" s="4" t="s">
        <v>782</v>
      </c>
      <c r="G49" s="4">
        <v>5010000002</v>
      </c>
    </row>
    <row r="50" spans="1:7" x14ac:dyDescent="0.2">
      <c r="A50" s="6"/>
      <c r="B50" s="23"/>
      <c r="C50" s="4" t="s">
        <v>318</v>
      </c>
      <c r="D50" s="4"/>
      <c r="E50" s="4" t="s">
        <v>257</v>
      </c>
      <c r="F50" s="4" t="s">
        <v>782</v>
      </c>
      <c r="G50" s="4">
        <v>5012000019</v>
      </c>
    </row>
    <row r="51" spans="1:7" x14ac:dyDescent="0.2">
      <c r="A51" s="6"/>
      <c r="B51" s="23"/>
      <c r="C51" s="4" t="s">
        <v>480</v>
      </c>
      <c r="D51" s="4"/>
      <c r="E51" s="4" t="s">
        <v>708</v>
      </c>
      <c r="F51" s="4" t="s">
        <v>782</v>
      </c>
      <c r="G51" s="4">
        <v>5003310181</v>
      </c>
    </row>
    <row r="52" spans="1:7" x14ac:dyDescent="0.2">
      <c r="A52" s="6"/>
      <c r="B52" s="23"/>
      <c r="C52" s="4" t="s">
        <v>481</v>
      </c>
      <c r="D52" s="4"/>
      <c r="E52" s="4" t="s">
        <v>482</v>
      </c>
      <c r="F52" s="4" t="s">
        <v>782</v>
      </c>
      <c r="G52" s="4">
        <v>5003310180</v>
      </c>
    </row>
    <row r="53" spans="1:7" x14ac:dyDescent="0.2">
      <c r="A53" s="93"/>
      <c r="B53" s="101"/>
      <c r="C53" s="4" t="s">
        <v>729</v>
      </c>
      <c r="D53" s="4"/>
      <c r="E53" s="4" t="s">
        <v>730</v>
      </c>
      <c r="F53" s="4" t="s">
        <v>782</v>
      </c>
      <c r="G53" s="4">
        <v>5012000020</v>
      </c>
    </row>
    <row r="54" spans="1:7" x14ac:dyDescent="0.2">
      <c r="A54" s="16"/>
      <c r="B54" s="19"/>
      <c r="C54" s="5" t="s">
        <v>361</v>
      </c>
      <c r="D54" s="5"/>
      <c r="E54" s="5" t="s">
        <v>265</v>
      </c>
      <c r="F54" s="5"/>
      <c r="G54" s="5"/>
    </row>
    <row r="55" spans="1:7" x14ac:dyDescent="0.2">
      <c r="A55" s="3"/>
      <c r="B55" s="18"/>
      <c r="C55" s="2" t="s">
        <v>368</v>
      </c>
      <c r="D55" s="2"/>
      <c r="E55" s="62" t="s">
        <v>258</v>
      </c>
      <c r="F55" s="62"/>
      <c r="G55" s="62"/>
    </row>
    <row r="56" spans="1:7" x14ac:dyDescent="0.2">
      <c r="A56" s="3"/>
      <c r="B56" s="18"/>
      <c r="C56" s="2" t="s">
        <v>369</v>
      </c>
      <c r="D56" s="2"/>
      <c r="E56" s="62" t="s">
        <v>504</v>
      </c>
      <c r="F56" s="62"/>
      <c r="G56" s="62"/>
    </row>
    <row r="57" spans="1:7" x14ac:dyDescent="0.2">
      <c r="A57" s="6"/>
      <c r="B57" s="23"/>
      <c r="C57" s="4" t="s">
        <v>319</v>
      </c>
      <c r="D57" s="4"/>
      <c r="E57" s="4" t="s">
        <v>259</v>
      </c>
      <c r="F57" s="4" t="s">
        <v>782</v>
      </c>
      <c r="G57" s="4">
        <v>5003310250</v>
      </c>
    </row>
    <row r="58" spans="1:7" x14ac:dyDescent="0.2">
      <c r="A58" s="6"/>
      <c r="B58" s="23"/>
      <c r="C58" s="4" t="s">
        <v>320</v>
      </c>
      <c r="D58" s="4"/>
      <c r="E58" s="4" t="s">
        <v>260</v>
      </c>
      <c r="F58" s="4" t="s">
        <v>782</v>
      </c>
      <c r="G58" s="4">
        <v>5003310270</v>
      </c>
    </row>
    <row r="59" spans="1:7" x14ac:dyDescent="0.2">
      <c r="A59" s="6"/>
      <c r="B59" s="23"/>
      <c r="C59" s="4" t="s">
        <v>321</v>
      </c>
      <c r="D59" s="4"/>
      <c r="E59" s="4" t="s">
        <v>261</v>
      </c>
      <c r="F59" s="4" t="s">
        <v>782</v>
      </c>
      <c r="G59" s="4">
        <v>5003310380</v>
      </c>
    </row>
    <row r="60" spans="1:7" x14ac:dyDescent="0.2">
      <c r="A60" s="6"/>
      <c r="B60" s="23"/>
      <c r="C60" s="4" t="s">
        <v>322</v>
      </c>
      <c r="D60" s="4"/>
      <c r="E60" s="4" t="s">
        <v>262</v>
      </c>
      <c r="F60" s="4" t="s">
        <v>782</v>
      </c>
      <c r="G60" s="4">
        <v>5003310220</v>
      </c>
    </row>
    <row r="61" spans="1:7" x14ac:dyDescent="0.2">
      <c r="A61" s="16"/>
      <c r="B61" s="19"/>
      <c r="C61" s="5" t="s">
        <v>362</v>
      </c>
      <c r="D61" s="5"/>
      <c r="E61" s="5" t="s">
        <v>505</v>
      </c>
      <c r="F61" s="5"/>
      <c r="G61" s="5"/>
    </row>
    <row r="62" spans="1:7" x14ac:dyDescent="0.2">
      <c r="A62" s="3"/>
      <c r="B62" s="18"/>
      <c r="C62" s="2" t="s">
        <v>370</v>
      </c>
      <c r="D62" s="2"/>
      <c r="E62" s="62" t="s">
        <v>537</v>
      </c>
      <c r="F62" s="62"/>
      <c r="G62" s="62"/>
    </row>
    <row r="63" spans="1:7" x14ac:dyDescent="0.2">
      <c r="A63" s="6"/>
      <c r="B63" s="23"/>
      <c r="C63" s="4" t="s">
        <v>323</v>
      </c>
      <c r="D63" s="4"/>
      <c r="E63" s="4" t="s">
        <v>506</v>
      </c>
      <c r="F63" s="4" t="s">
        <v>782</v>
      </c>
      <c r="G63" s="114">
        <v>5003310220</v>
      </c>
    </row>
    <row r="64" spans="1:7" x14ac:dyDescent="0.2">
      <c r="A64" s="6"/>
      <c r="B64" s="23"/>
      <c r="C64" s="4" t="s">
        <v>324</v>
      </c>
      <c r="D64" s="4"/>
      <c r="E64" s="4" t="s">
        <v>507</v>
      </c>
      <c r="F64" s="4" t="s">
        <v>782</v>
      </c>
      <c r="G64" s="114">
        <v>5003310240</v>
      </c>
    </row>
    <row r="65" spans="1:7" x14ac:dyDescent="0.2">
      <c r="A65" s="6"/>
      <c r="B65" s="23"/>
      <c r="C65" s="4" t="s">
        <v>325</v>
      </c>
      <c r="D65" s="4"/>
      <c r="E65" s="4" t="s">
        <v>508</v>
      </c>
      <c r="F65" s="4" t="s">
        <v>782</v>
      </c>
      <c r="G65" s="114">
        <v>5003310240</v>
      </c>
    </row>
    <row r="66" spans="1:7" x14ac:dyDescent="0.2">
      <c r="A66" s="6"/>
      <c r="B66" s="23"/>
      <c r="C66" s="4" t="s">
        <v>326</v>
      </c>
      <c r="D66" s="4"/>
      <c r="E66" s="4" t="s">
        <v>509</v>
      </c>
      <c r="F66" s="4" t="s">
        <v>782</v>
      </c>
      <c r="G66" s="114">
        <v>5003310160</v>
      </c>
    </row>
    <row r="67" spans="1:7" x14ac:dyDescent="0.2">
      <c r="A67" s="6"/>
      <c r="B67" s="23"/>
      <c r="C67" s="4" t="s">
        <v>327</v>
      </c>
      <c r="D67" s="4"/>
      <c r="E67" s="4" t="s">
        <v>510</v>
      </c>
      <c r="F67" s="4" t="s">
        <v>782</v>
      </c>
      <c r="G67" s="114">
        <v>5003310340</v>
      </c>
    </row>
    <row r="68" spans="1:7" x14ac:dyDescent="0.2">
      <c r="A68" s="6"/>
      <c r="B68" s="23"/>
      <c r="C68" s="4" t="s">
        <v>328</v>
      </c>
      <c r="D68" s="4"/>
      <c r="E68" s="4" t="s">
        <v>511</v>
      </c>
      <c r="F68" s="4" t="s">
        <v>782</v>
      </c>
      <c r="G68" s="114">
        <v>5003310220</v>
      </c>
    </row>
    <row r="69" spans="1:7" x14ac:dyDescent="0.2">
      <c r="A69" s="6"/>
      <c r="B69" s="23"/>
      <c r="C69" s="4" t="s">
        <v>329</v>
      </c>
      <c r="D69" s="4"/>
      <c r="E69" s="4" t="s">
        <v>512</v>
      </c>
      <c r="F69" s="4" t="s">
        <v>782</v>
      </c>
      <c r="G69" s="114">
        <v>5003310360</v>
      </c>
    </row>
    <row r="70" spans="1:7" x14ac:dyDescent="0.2">
      <c r="A70" s="6"/>
      <c r="B70" s="23"/>
      <c r="C70" s="4" t="s">
        <v>330</v>
      </c>
      <c r="D70" s="4"/>
      <c r="E70" s="4" t="s">
        <v>513</v>
      </c>
      <c r="F70" s="4" t="s">
        <v>782</v>
      </c>
      <c r="G70" s="114">
        <v>5003310160</v>
      </c>
    </row>
    <row r="71" spans="1:7" x14ac:dyDescent="0.2">
      <c r="A71" s="6"/>
      <c r="B71" s="23"/>
      <c r="C71" s="4" t="s">
        <v>331</v>
      </c>
      <c r="D71" s="4"/>
      <c r="E71" s="4" t="s">
        <v>514</v>
      </c>
      <c r="F71" s="4" t="s">
        <v>782</v>
      </c>
      <c r="G71" s="114">
        <v>5003310160</v>
      </c>
    </row>
    <row r="72" spans="1:7" x14ac:dyDescent="0.2">
      <c r="A72" s="6"/>
      <c r="B72" s="23"/>
      <c r="C72" s="4" t="s">
        <v>332</v>
      </c>
      <c r="D72" s="4"/>
      <c r="E72" s="4" t="s">
        <v>707</v>
      </c>
      <c r="F72" s="4" t="s">
        <v>782</v>
      </c>
      <c r="G72" s="114">
        <v>5003310181</v>
      </c>
    </row>
    <row r="73" spans="1:7" x14ac:dyDescent="0.2">
      <c r="A73" s="6"/>
      <c r="B73" s="23"/>
      <c r="C73" s="4" t="s">
        <v>333</v>
      </c>
      <c r="D73" s="4"/>
      <c r="E73" s="4" t="s">
        <v>515</v>
      </c>
      <c r="F73" s="4" t="s">
        <v>782</v>
      </c>
      <c r="G73" s="114">
        <v>5003310270</v>
      </c>
    </row>
    <row r="74" spans="1:7" x14ac:dyDescent="0.2">
      <c r="A74" s="16"/>
      <c r="B74" s="16"/>
      <c r="C74" s="5" t="s">
        <v>363</v>
      </c>
      <c r="D74" s="5"/>
      <c r="E74" s="5" t="s">
        <v>538</v>
      </c>
      <c r="F74" s="5"/>
      <c r="G74" s="5"/>
    </row>
    <row r="75" spans="1:7" x14ac:dyDescent="0.2">
      <c r="A75" s="3"/>
      <c r="B75" s="18"/>
      <c r="C75" s="2" t="s">
        <v>371</v>
      </c>
      <c r="D75" s="2"/>
      <c r="E75" s="62" t="s">
        <v>539</v>
      </c>
      <c r="F75" s="62"/>
      <c r="G75" s="62"/>
    </row>
    <row r="76" spans="1:7" x14ac:dyDescent="0.2">
      <c r="A76" s="6"/>
      <c r="B76" s="23"/>
      <c r="C76" s="4" t="s">
        <v>334</v>
      </c>
      <c r="D76" s="4"/>
      <c r="E76" s="4" t="s">
        <v>516</v>
      </c>
      <c r="F76" s="4" t="s">
        <v>782</v>
      </c>
      <c r="G76" s="114">
        <v>5003310220</v>
      </c>
    </row>
    <row r="77" spans="1:7" x14ac:dyDescent="0.2">
      <c r="A77" s="6"/>
      <c r="B77" s="23"/>
      <c r="C77" s="4" t="s">
        <v>335</v>
      </c>
      <c r="D77" s="4"/>
      <c r="E77" s="4" t="s">
        <v>517</v>
      </c>
      <c r="F77" s="4" t="s">
        <v>782</v>
      </c>
      <c r="G77" s="114">
        <v>5003310240</v>
      </c>
    </row>
    <row r="78" spans="1:7" x14ac:dyDescent="0.2">
      <c r="A78" s="6"/>
      <c r="B78" s="23"/>
      <c r="C78" s="4" t="s">
        <v>336</v>
      </c>
      <c r="D78" s="4"/>
      <c r="E78" s="4" t="s">
        <v>518</v>
      </c>
      <c r="F78" s="4" t="s">
        <v>782</v>
      </c>
      <c r="G78" s="114">
        <v>5003310240</v>
      </c>
    </row>
    <row r="79" spans="1:7" x14ac:dyDescent="0.2">
      <c r="A79" s="6"/>
      <c r="B79" s="23"/>
      <c r="C79" s="4" t="s">
        <v>337</v>
      </c>
      <c r="D79" s="4"/>
      <c r="E79" s="4" t="s">
        <v>519</v>
      </c>
      <c r="F79" s="4" t="s">
        <v>782</v>
      </c>
      <c r="G79" s="114">
        <v>5003310160</v>
      </c>
    </row>
    <row r="80" spans="1:7" x14ac:dyDescent="0.2">
      <c r="A80" s="6"/>
      <c r="B80" s="23"/>
      <c r="C80" s="4" t="s">
        <v>338</v>
      </c>
      <c r="D80" s="4"/>
      <c r="E80" s="4" t="s">
        <v>520</v>
      </c>
      <c r="F80" s="4" t="s">
        <v>782</v>
      </c>
      <c r="G80" s="114">
        <v>5003310340</v>
      </c>
    </row>
    <row r="81" spans="1:7" x14ac:dyDescent="0.2">
      <c r="A81" s="6"/>
      <c r="B81" s="23"/>
      <c r="C81" s="4" t="s">
        <v>339</v>
      </c>
      <c r="D81" s="4"/>
      <c r="E81" s="4" t="s">
        <v>521</v>
      </c>
      <c r="F81" s="4" t="s">
        <v>782</v>
      </c>
      <c r="G81" s="114">
        <v>5003310220</v>
      </c>
    </row>
    <row r="82" spans="1:7" x14ac:dyDescent="0.2">
      <c r="A82" s="6"/>
      <c r="B82" s="23"/>
      <c r="C82" s="4" t="s">
        <v>340</v>
      </c>
      <c r="D82" s="4"/>
      <c r="E82" s="4" t="s">
        <v>522</v>
      </c>
      <c r="F82" s="4" t="s">
        <v>782</v>
      </c>
      <c r="G82" s="114">
        <v>5003310360</v>
      </c>
    </row>
    <row r="83" spans="1:7" x14ac:dyDescent="0.2">
      <c r="A83" s="6"/>
      <c r="B83" s="23"/>
      <c r="C83" s="4" t="s">
        <v>341</v>
      </c>
      <c r="D83" s="4"/>
      <c r="E83" s="4" t="s">
        <v>523</v>
      </c>
      <c r="F83" s="4" t="s">
        <v>782</v>
      </c>
      <c r="G83" s="114">
        <v>5003310160</v>
      </c>
    </row>
    <row r="84" spans="1:7" x14ac:dyDescent="0.2">
      <c r="A84" s="6"/>
      <c r="B84" s="23"/>
      <c r="C84" s="4" t="s">
        <v>342</v>
      </c>
      <c r="D84" s="4"/>
      <c r="E84" s="4" t="s">
        <v>524</v>
      </c>
      <c r="F84" s="4" t="s">
        <v>782</v>
      </c>
      <c r="G84" s="114">
        <v>5003310160</v>
      </c>
    </row>
    <row r="85" spans="1:7" x14ac:dyDescent="0.2">
      <c r="A85" s="6"/>
      <c r="B85" s="23"/>
      <c r="C85" s="4" t="s">
        <v>343</v>
      </c>
      <c r="D85" s="4"/>
      <c r="E85" s="4" t="s">
        <v>706</v>
      </c>
      <c r="F85" s="4" t="s">
        <v>782</v>
      </c>
      <c r="G85" s="114">
        <v>5003310181</v>
      </c>
    </row>
    <row r="86" spans="1:7" x14ac:dyDescent="0.2">
      <c r="A86" s="6"/>
      <c r="B86" s="23"/>
      <c r="C86" s="4" t="s">
        <v>344</v>
      </c>
      <c r="D86" s="4"/>
      <c r="E86" s="4" t="s">
        <v>525</v>
      </c>
      <c r="F86" s="4" t="s">
        <v>782</v>
      </c>
      <c r="G86" s="114">
        <v>5003310270</v>
      </c>
    </row>
    <row r="87" spans="1:7" x14ac:dyDescent="0.2">
      <c r="A87" s="16"/>
      <c r="B87" s="16"/>
      <c r="C87" s="5" t="s">
        <v>364</v>
      </c>
      <c r="D87" s="5"/>
      <c r="E87" s="5" t="s">
        <v>540</v>
      </c>
      <c r="F87" s="5"/>
      <c r="G87" s="5"/>
    </row>
    <row r="88" spans="1:7" x14ac:dyDescent="0.2">
      <c r="A88" s="3"/>
      <c r="B88" s="18"/>
      <c r="C88" s="2" t="s">
        <v>372</v>
      </c>
      <c r="D88" s="2"/>
      <c r="E88" s="62" t="s">
        <v>541</v>
      </c>
      <c r="F88" s="62"/>
      <c r="G88" s="62"/>
    </row>
    <row r="89" spans="1:7" x14ac:dyDescent="0.2">
      <c r="A89" s="6"/>
      <c r="B89" s="23"/>
      <c r="C89" s="4" t="s">
        <v>345</v>
      </c>
      <c r="D89" s="4"/>
      <c r="E89" s="4" t="s">
        <v>526</v>
      </c>
      <c r="F89" s="4" t="s">
        <v>782</v>
      </c>
      <c r="G89" s="4">
        <v>5003310220</v>
      </c>
    </row>
    <row r="90" spans="1:7" x14ac:dyDescent="0.2">
      <c r="A90" s="6"/>
      <c r="B90" s="23"/>
      <c r="C90" s="4" t="s">
        <v>346</v>
      </c>
      <c r="D90" s="4"/>
      <c r="E90" s="4" t="s">
        <v>527</v>
      </c>
      <c r="F90" s="4" t="s">
        <v>782</v>
      </c>
      <c r="G90" s="4">
        <v>5003310240</v>
      </c>
    </row>
    <row r="91" spans="1:7" x14ac:dyDescent="0.2">
      <c r="A91" s="6"/>
      <c r="B91" s="23"/>
      <c r="C91" s="4" t="s">
        <v>347</v>
      </c>
      <c r="D91" s="4"/>
      <c r="E91" s="4" t="s">
        <v>528</v>
      </c>
      <c r="F91" s="4" t="s">
        <v>782</v>
      </c>
      <c r="G91" s="4">
        <v>5003310240</v>
      </c>
    </row>
    <row r="92" spans="1:7" x14ac:dyDescent="0.2">
      <c r="A92" s="6"/>
      <c r="B92" s="23"/>
      <c r="C92" s="4" t="s">
        <v>348</v>
      </c>
      <c r="D92" s="4"/>
      <c r="E92" s="4" t="s">
        <v>529</v>
      </c>
      <c r="F92" s="4" t="s">
        <v>782</v>
      </c>
      <c r="G92" s="114" t="s">
        <v>786</v>
      </c>
    </row>
    <row r="93" spans="1:7" x14ac:dyDescent="0.2">
      <c r="A93" s="6"/>
      <c r="B93" s="23"/>
      <c r="C93" s="4" t="s">
        <v>349</v>
      </c>
      <c r="D93" s="4"/>
      <c r="E93" s="4" t="s">
        <v>530</v>
      </c>
      <c r="F93" s="4" t="s">
        <v>782</v>
      </c>
      <c r="G93" s="4">
        <v>5003310160</v>
      </c>
    </row>
    <row r="94" spans="1:7" x14ac:dyDescent="0.2">
      <c r="A94" s="6"/>
      <c r="B94" s="23"/>
      <c r="C94" s="4" t="s">
        <v>350</v>
      </c>
      <c r="D94" s="4"/>
      <c r="E94" s="4" t="s">
        <v>531</v>
      </c>
      <c r="F94" s="4" t="s">
        <v>782</v>
      </c>
      <c r="G94" s="4">
        <v>5003310340</v>
      </c>
    </row>
    <row r="95" spans="1:7" x14ac:dyDescent="0.2">
      <c r="A95" s="6"/>
      <c r="B95" s="23"/>
      <c r="C95" s="4" t="s">
        <v>351</v>
      </c>
      <c r="D95" s="4"/>
      <c r="E95" s="4" t="s">
        <v>532</v>
      </c>
      <c r="F95" s="4" t="s">
        <v>782</v>
      </c>
      <c r="G95" s="4">
        <v>5003310220</v>
      </c>
    </row>
    <row r="96" spans="1:7" x14ac:dyDescent="0.2">
      <c r="A96" s="6"/>
      <c r="B96" s="23"/>
      <c r="C96" s="4" t="s">
        <v>352</v>
      </c>
      <c r="D96" s="4"/>
      <c r="E96" s="4" t="s">
        <v>533</v>
      </c>
      <c r="F96" s="4" t="s">
        <v>782</v>
      </c>
      <c r="G96" s="4">
        <v>5003310360</v>
      </c>
    </row>
    <row r="97" spans="1:7" x14ac:dyDescent="0.2">
      <c r="A97" s="6"/>
      <c r="B97" s="23"/>
      <c r="C97" s="4" t="s">
        <v>353</v>
      </c>
      <c r="D97" s="4"/>
      <c r="E97" s="4" t="s">
        <v>534</v>
      </c>
      <c r="F97" s="4" t="s">
        <v>782</v>
      </c>
      <c r="G97" s="4">
        <v>5003310160</v>
      </c>
    </row>
    <row r="98" spans="1:7" x14ac:dyDescent="0.2">
      <c r="A98" s="6"/>
      <c r="B98" s="23"/>
      <c r="C98" s="4" t="s">
        <v>354</v>
      </c>
      <c r="D98" s="4"/>
      <c r="E98" s="4" t="s">
        <v>535</v>
      </c>
      <c r="F98" s="4" t="s">
        <v>782</v>
      </c>
      <c r="G98" s="4">
        <v>5003310160</v>
      </c>
    </row>
    <row r="99" spans="1:7" x14ac:dyDescent="0.2">
      <c r="A99" s="6"/>
      <c r="B99" s="23"/>
      <c r="C99" s="4" t="s">
        <v>355</v>
      </c>
      <c r="D99" s="4"/>
      <c r="E99" s="4" t="s">
        <v>705</v>
      </c>
      <c r="F99" s="4" t="s">
        <v>782</v>
      </c>
      <c r="G99" s="4">
        <v>5003310181</v>
      </c>
    </row>
    <row r="100" spans="1:7" x14ac:dyDescent="0.2">
      <c r="A100" s="6"/>
      <c r="B100" s="23"/>
      <c r="C100" s="4" t="s">
        <v>356</v>
      </c>
      <c r="D100" s="4"/>
      <c r="E100" s="4" t="s">
        <v>536</v>
      </c>
      <c r="F100" s="4" t="s">
        <v>782</v>
      </c>
      <c r="G100" s="4">
        <v>5003310270</v>
      </c>
    </row>
    <row r="101" spans="1:7" x14ac:dyDescent="0.2">
      <c r="A101" s="16"/>
      <c r="B101" s="16"/>
      <c r="C101" s="5" t="s">
        <v>365</v>
      </c>
      <c r="D101" s="5"/>
      <c r="E101" s="5" t="s">
        <v>542</v>
      </c>
      <c r="F101" s="5"/>
      <c r="G101" s="5"/>
    </row>
    <row r="102" spans="1:7" x14ac:dyDescent="0.2">
      <c r="A102" s="16"/>
      <c r="B102" s="16"/>
      <c r="C102" s="5" t="s">
        <v>366</v>
      </c>
      <c r="D102" s="5"/>
      <c r="E102" s="5" t="s">
        <v>543</v>
      </c>
      <c r="F102" s="5"/>
      <c r="G102" s="5"/>
    </row>
    <row r="103" spans="1:7" x14ac:dyDescent="0.2">
      <c r="A103" s="3">
        <v>10</v>
      </c>
      <c r="B103" s="18">
        <v>3500</v>
      </c>
      <c r="C103" s="2" t="s">
        <v>373</v>
      </c>
      <c r="D103" s="2"/>
      <c r="E103" s="62" t="s">
        <v>73</v>
      </c>
      <c r="F103" s="62"/>
      <c r="G103" s="62"/>
    </row>
    <row r="104" spans="1:7" x14ac:dyDescent="0.2">
      <c r="A104" s="6">
        <v>10</v>
      </c>
      <c r="B104" s="23">
        <v>3510</v>
      </c>
      <c r="C104" s="4" t="s">
        <v>357</v>
      </c>
      <c r="D104" s="4"/>
      <c r="E104" s="4" t="s">
        <v>252</v>
      </c>
      <c r="F104" s="4" t="s">
        <v>782</v>
      </c>
      <c r="G104" s="4">
        <v>5013000010</v>
      </c>
    </row>
    <row r="105" spans="1:7" x14ac:dyDescent="0.2">
      <c r="A105" s="6">
        <v>10</v>
      </c>
      <c r="B105" s="23">
        <v>3520</v>
      </c>
      <c r="C105" s="4" t="s">
        <v>358</v>
      </c>
      <c r="D105" s="4"/>
      <c r="E105" s="4" t="s">
        <v>253</v>
      </c>
      <c r="F105" s="4" t="s">
        <v>782</v>
      </c>
      <c r="G105" s="4">
        <v>5013000010</v>
      </c>
    </row>
    <row r="106" spans="1:7" x14ac:dyDescent="0.2">
      <c r="A106" s="6">
        <v>10</v>
      </c>
      <c r="B106" s="23">
        <v>3530</v>
      </c>
      <c r="C106" s="4" t="s">
        <v>359</v>
      </c>
      <c r="D106" s="4"/>
      <c r="E106" s="4" t="s">
        <v>254</v>
      </c>
      <c r="F106" s="4" t="s">
        <v>782</v>
      </c>
      <c r="G106" s="4">
        <v>5013000010</v>
      </c>
    </row>
    <row r="107" spans="1:7" x14ac:dyDescent="0.2">
      <c r="A107" s="6">
        <v>10</v>
      </c>
      <c r="B107" s="23">
        <v>3540</v>
      </c>
      <c r="C107" s="4" t="s">
        <v>360</v>
      </c>
      <c r="D107" s="4"/>
      <c r="E107" s="4" t="s">
        <v>255</v>
      </c>
      <c r="F107" s="4" t="s">
        <v>782</v>
      </c>
      <c r="G107" s="4">
        <v>5013000010</v>
      </c>
    </row>
    <row r="108" spans="1:7" x14ac:dyDescent="0.2">
      <c r="A108" s="16">
        <v>120</v>
      </c>
      <c r="B108" s="16">
        <v>3550</v>
      </c>
      <c r="C108" s="5" t="s">
        <v>374</v>
      </c>
      <c r="D108" s="5"/>
      <c r="E108" s="5" t="s">
        <v>74</v>
      </c>
      <c r="F108" s="5"/>
      <c r="G108" s="5"/>
    </row>
    <row r="109" spans="1:7" x14ac:dyDescent="0.2">
      <c r="A109" s="16">
        <v>120</v>
      </c>
      <c r="B109" s="16">
        <v>3200</v>
      </c>
      <c r="C109" s="5" t="s">
        <v>375</v>
      </c>
      <c r="D109" s="5"/>
      <c r="E109" s="5" t="s">
        <v>72</v>
      </c>
      <c r="F109" s="5"/>
      <c r="G109" s="5"/>
    </row>
    <row r="110" spans="1:7" x14ac:dyDescent="0.2">
      <c r="A110" s="3">
        <v>10</v>
      </c>
      <c r="B110" s="18">
        <v>3950</v>
      </c>
      <c r="C110" s="2" t="s">
        <v>376</v>
      </c>
      <c r="D110" s="2"/>
      <c r="E110" s="62" t="s">
        <v>75</v>
      </c>
      <c r="F110" s="62"/>
      <c r="G110" s="62"/>
    </row>
    <row r="111" spans="1:7" x14ac:dyDescent="0.2">
      <c r="A111" s="6">
        <v>10</v>
      </c>
      <c r="B111" s="23">
        <v>3960</v>
      </c>
      <c r="C111" s="4" t="s">
        <v>367</v>
      </c>
      <c r="D111" s="4"/>
      <c r="E111" s="4" t="s">
        <v>75</v>
      </c>
      <c r="F111" s="4" t="s">
        <v>783</v>
      </c>
      <c r="G111" s="4"/>
    </row>
    <row r="112" spans="1:7" x14ac:dyDescent="0.2">
      <c r="A112" s="16">
        <v>120</v>
      </c>
      <c r="B112" s="16">
        <v>3970</v>
      </c>
      <c r="C112" s="5" t="s">
        <v>377</v>
      </c>
      <c r="D112" s="5"/>
      <c r="E112" s="5" t="s">
        <v>76</v>
      </c>
      <c r="F112" s="5"/>
      <c r="G112" s="5"/>
    </row>
    <row r="113" spans="1:7" x14ac:dyDescent="0.2">
      <c r="A113" s="16">
        <v>120</v>
      </c>
      <c r="B113" s="16">
        <v>4000</v>
      </c>
      <c r="C113" s="5" t="s">
        <v>378</v>
      </c>
      <c r="D113" s="5"/>
      <c r="E113" s="5" t="s">
        <v>77</v>
      </c>
      <c r="F113" s="5"/>
      <c r="G113" s="5"/>
    </row>
  </sheetData>
  <autoFilter ref="C2:G113" xr:uid="{A31D2707-DF65-4299-A86C-00CE92296BCB}"/>
  <conditionalFormatting sqref="C39:C43">
    <cfRule type="duplicateValues" dxfId="5" priority="1"/>
  </conditionalFormatting>
  <conditionalFormatting sqref="C44:C113 C3:C38">
    <cfRule type="duplicateValues" dxfId="4" priority="2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4286-816D-4C37-8226-62B1A2DDD897}">
  <sheetPr>
    <pageSetUpPr autoPageBreaks="0"/>
  </sheetPr>
  <dimension ref="A1:CK140"/>
  <sheetViews>
    <sheetView zoomScale="101" zoomScaleNormal="100" workbookViewId="0">
      <pane xSplit="9" ySplit="2" topLeftCell="J37" activePane="bottomRight" state="frozen"/>
      <selection activeCell="G50" sqref="G50"/>
      <selection pane="topRight" activeCell="G50" sqref="G50"/>
      <selection pane="bottomLeft" activeCell="G50" sqref="G50"/>
      <selection pane="bottomRight" activeCell="H88" sqref="H88"/>
    </sheetView>
  </sheetViews>
  <sheetFormatPr defaultRowHeight="12" x14ac:dyDescent="0.2"/>
  <cols>
    <col min="1" max="1" width="9.140625" style="20"/>
    <col min="2" max="2" width="11" style="1" customWidth="1"/>
    <col min="3" max="3" width="11" style="1" hidden="1" customWidth="1"/>
    <col min="4" max="4" width="10" style="1" hidden="1" customWidth="1"/>
    <col min="5" max="5" width="11.5703125" style="1" customWidth="1"/>
    <col min="6" max="6" width="8.7109375" style="1" bestFit="1" customWidth="1"/>
    <col min="7" max="7" width="8.7109375" style="20" customWidth="1"/>
    <col min="8" max="8" width="8.140625" style="1" customWidth="1"/>
    <col min="9" max="9" width="37" style="1" customWidth="1"/>
    <col min="10" max="10" width="9.85546875" style="1" bestFit="1" customWidth="1"/>
    <col min="11" max="11" width="8.42578125" style="1" bestFit="1" customWidth="1"/>
    <col min="12" max="12" width="62.28515625" style="1" bestFit="1" customWidth="1"/>
    <col min="13" max="13" width="14.28515625" style="1" bestFit="1" customWidth="1"/>
    <col min="14" max="14" width="15" style="1" bestFit="1" customWidth="1"/>
    <col min="15" max="15" width="14" style="1" bestFit="1" customWidth="1"/>
    <col min="16" max="16" width="15.140625" style="1" bestFit="1" customWidth="1"/>
    <col min="17" max="17" width="14.140625" style="1" bestFit="1" customWidth="1"/>
    <col min="18" max="18" width="12.42578125" style="1" bestFit="1" customWidth="1"/>
    <col min="19" max="19" width="8.28515625" style="1" customWidth="1"/>
    <col min="20" max="20" width="23.7109375" style="1" bestFit="1" customWidth="1"/>
    <col min="21" max="21" width="17.42578125" style="1" bestFit="1" customWidth="1"/>
    <col min="22" max="22" width="40" style="20" bestFit="1" customWidth="1"/>
    <col min="23" max="23" width="9.28515625" style="1" customWidth="1"/>
    <col min="24" max="24" width="9.7109375" style="1" bestFit="1" customWidth="1"/>
    <col min="25" max="25" width="14.42578125" style="1" bestFit="1" customWidth="1"/>
    <col min="26" max="26" width="137.5703125" style="1" bestFit="1" customWidth="1"/>
    <col min="27" max="27" width="15.7109375" style="1" bestFit="1" customWidth="1"/>
    <col min="28" max="32" width="15.7109375" style="1" customWidth="1"/>
    <col min="33" max="33" width="16.7109375" style="1" bestFit="1" customWidth="1"/>
    <col min="34" max="38" width="0" style="1" hidden="1" customWidth="1"/>
    <col min="39" max="77" width="9.140625" style="1"/>
    <col min="78" max="78" width="10.5703125" style="22" bestFit="1" customWidth="1"/>
    <col min="79" max="79" width="9.140625" style="22"/>
    <col min="80" max="80" width="10.42578125" style="1" customWidth="1"/>
    <col min="81" max="81" width="27.5703125" style="1" bestFit="1" customWidth="1"/>
    <col min="82" max="83" width="10.140625" style="22" bestFit="1" customWidth="1"/>
    <col min="84" max="84" width="9.140625" style="1"/>
    <col min="85" max="85" width="15.140625" style="1" bestFit="1" customWidth="1"/>
    <col min="86" max="87" width="10.140625" style="1" bestFit="1" customWidth="1"/>
    <col min="88" max="16384" width="9.140625" style="1"/>
  </cols>
  <sheetData>
    <row r="1" spans="1:89" ht="12.75" thickBot="1" x14ac:dyDescent="0.25">
      <c r="B1" s="32" t="s">
        <v>164</v>
      </c>
      <c r="C1" s="13"/>
      <c r="D1" s="13"/>
      <c r="E1" s="13"/>
      <c r="F1" s="13"/>
      <c r="G1" s="48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48" t="s">
        <v>80</v>
      </c>
      <c r="W1" s="13" t="s">
        <v>81</v>
      </c>
      <c r="X1" s="13" t="s">
        <v>82</v>
      </c>
      <c r="Y1" s="13" t="s">
        <v>85</v>
      </c>
      <c r="Z1" s="13"/>
      <c r="AA1" s="13"/>
      <c r="AB1" s="13"/>
      <c r="AC1" s="13"/>
      <c r="AD1" s="13"/>
      <c r="AE1" s="13"/>
      <c r="AF1" s="13"/>
      <c r="AG1" s="13"/>
    </row>
    <row r="2" spans="1:89" x14ac:dyDescent="0.2">
      <c r="A2" s="30" t="s">
        <v>105</v>
      </c>
      <c r="B2" s="33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7" t="s">
        <v>88</v>
      </c>
      <c r="I2" s="11" t="s">
        <v>89</v>
      </c>
      <c r="J2" s="17" t="s">
        <v>31</v>
      </c>
      <c r="K2" s="11" t="s">
        <v>32</v>
      </c>
      <c r="L2" s="17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701</v>
      </c>
      <c r="U2" s="11" t="s">
        <v>26</v>
      </c>
      <c r="V2" s="49" t="s">
        <v>694</v>
      </c>
      <c r="W2" s="11" t="s">
        <v>14</v>
      </c>
      <c r="X2" s="11" t="s">
        <v>83</v>
      </c>
      <c r="Y2" s="11" t="s">
        <v>84</v>
      </c>
      <c r="Z2" s="11" t="s">
        <v>695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M2" s="1" t="str">
        <f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89" x14ac:dyDescent="0.2">
      <c r="A3" s="56">
        <v>1</v>
      </c>
      <c r="B3" s="2" t="s">
        <v>86</v>
      </c>
      <c r="C3" s="3"/>
      <c r="D3" s="3"/>
      <c r="E3" s="2" t="s">
        <v>155</v>
      </c>
      <c r="F3" s="2" t="s">
        <v>10</v>
      </c>
      <c r="G3" s="50" t="s">
        <v>103</v>
      </c>
      <c r="H3" s="42"/>
      <c r="I3" s="61" t="s">
        <v>17</v>
      </c>
      <c r="J3" s="87" t="str">
        <f>+E3</f>
        <v>TABS.0005</v>
      </c>
      <c r="K3" s="87" t="str">
        <f>+F3</f>
        <v>HEADING</v>
      </c>
      <c r="L3" s="2" t="str">
        <f t="shared" ref="L3:L18" si="0">+_xlfn.TEXTJOIN("::",FALSE,G3:I3)</f>
        <v>****::::ASSETS</v>
      </c>
      <c r="M3" s="3"/>
      <c r="N3" s="2"/>
      <c r="O3" s="2"/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81"/>
      <c r="AC3" s="81"/>
      <c r="AD3" s="81"/>
      <c r="AE3" s="81"/>
      <c r="AF3" s="81"/>
      <c r="AG3" s="7"/>
      <c r="AM3" s="1" t="str">
        <f t="shared" ref="AM3:AM73" si="1">+_xlfn.TEXTJOIN("|",FALSE,J3:AG3)</f>
        <v>TABS.0005|HEADING|****::::ASSETS||||1|||||||||||||||||</v>
      </c>
    </row>
    <row r="4" spans="1:89" x14ac:dyDescent="0.2">
      <c r="A4" s="56">
        <v>1.1000000000000001</v>
      </c>
      <c r="B4" s="2" t="s">
        <v>86</v>
      </c>
      <c r="C4" s="3"/>
      <c r="D4" s="3"/>
      <c r="E4" s="2" t="s">
        <v>156</v>
      </c>
      <c r="F4" s="2" t="s">
        <v>10</v>
      </c>
      <c r="G4" s="50" t="s">
        <v>22</v>
      </c>
      <c r="H4" s="42"/>
      <c r="I4" s="61" t="s">
        <v>38</v>
      </c>
      <c r="J4" s="87" t="str">
        <f t="shared" ref="J4:J74" si="2">+E4</f>
        <v>TABS.0010</v>
      </c>
      <c r="K4" s="87" t="str">
        <f t="shared" ref="K4:K74" si="3">+F4</f>
        <v>HEADING</v>
      </c>
      <c r="L4" s="2" t="str">
        <f t="shared" si="0"/>
        <v>**::::CASH AND CASH EQUIVALENTS</v>
      </c>
      <c r="M4" s="3"/>
      <c r="N4" s="2"/>
      <c r="O4" s="2"/>
      <c r="P4" s="2">
        <v>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81"/>
      <c r="AC4" s="81"/>
      <c r="AD4" s="81"/>
      <c r="AE4" s="81"/>
      <c r="AF4" s="81"/>
      <c r="AG4" s="7"/>
      <c r="AM4" s="1" t="str">
        <f t="shared" si="1"/>
        <v>TABS.0010|HEADING|**::::CASH AND CASH EQUIVALENTS||||2|||||||||||||||||</v>
      </c>
    </row>
    <row r="5" spans="1:89" x14ac:dyDescent="0.2">
      <c r="A5" s="43" t="s">
        <v>104</v>
      </c>
      <c r="B5" s="2" t="s">
        <v>86</v>
      </c>
      <c r="C5" s="3"/>
      <c r="D5" s="3"/>
      <c r="E5" s="2" t="s">
        <v>157</v>
      </c>
      <c r="F5" s="2" t="s">
        <v>10</v>
      </c>
      <c r="G5" s="50" t="s">
        <v>22</v>
      </c>
      <c r="H5" s="42"/>
      <c r="I5" s="45" t="s">
        <v>39</v>
      </c>
      <c r="J5" s="88" t="str">
        <f t="shared" si="2"/>
        <v>TABS.0020</v>
      </c>
      <c r="K5" s="88" t="str">
        <f t="shared" si="3"/>
        <v>HEADING</v>
      </c>
      <c r="L5" s="2" t="str">
        <f t="shared" si="0"/>
        <v>**::::BALANCES WITH BANKS</v>
      </c>
      <c r="M5" s="3"/>
      <c r="N5" s="2"/>
      <c r="O5" s="2"/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81"/>
      <c r="AC5" s="81"/>
      <c r="AD5" s="81"/>
      <c r="AE5" s="81"/>
      <c r="AF5" s="81"/>
      <c r="AG5" s="7"/>
      <c r="AM5" s="1" t="str">
        <f t="shared" si="1"/>
        <v>TABS.0020|HEADING|**::::BALANCES WITH BANKS||||1|||||||||||||||||</v>
      </c>
    </row>
    <row r="6" spans="1:89" s="41" customFormat="1" x14ac:dyDescent="0.2">
      <c r="A6" s="35" t="s">
        <v>119</v>
      </c>
      <c r="B6" s="36" t="s">
        <v>86</v>
      </c>
      <c r="C6" s="37"/>
      <c r="D6" s="38" t="s">
        <v>40</v>
      </c>
      <c r="E6" s="36" t="s">
        <v>165</v>
      </c>
      <c r="F6" s="36" t="s">
        <v>11</v>
      </c>
      <c r="G6" s="51" t="s">
        <v>158</v>
      </c>
      <c r="H6" s="39"/>
      <c r="I6" s="36" t="s">
        <v>110</v>
      </c>
      <c r="J6" s="36" t="str">
        <f t="shared" si="2"/>
        <v>TABS.0025</v>
      </c>
      <c r="K6" s="36" t="str">
        <f t="shared" si="3"/>
        <v>DETAIL</v>
      </c>
      <c r="L6" s="36" t="str">
        <f t="shared" si="0"/>
        <v>0025::::NOSTRO ACCOUNT LCY</v>
      </c>
      <c r="M6" s="36"/>
      <c r="N6" s="36">
        <v>5</v>
      </c>
      <c r="O6" s="36"/>
      <c r="P6" s="36"/>
      <c r="Q6" s="36"/>
      <c r="R6" s="36"/>
      <c r="S6" s="36"/>
      <c r="T6" s="36" t="s">
        <v>59</v>
      </c>
      <c r="U6" s="36" t="s">
        <v>112</v>
      </c>
      <c r="V6" s="54">
        <v>5001</v>
      </c>
      <c r="W6" s="36"/>
      <c r="X6" s="36"/>
      <c r="Y6" s="36"/>
      <c r="Z6" s="36"/>
      <c r="AA6" s="36"/>
      <c r="AB6" s="82"/>
      <c r="AC6" s="82"/>
      <c r="AD6" s="82"/>
      <c r="AE6" s="82"/>
      <c r="AF6" s="82"/>
      <c r="AG6" s="40"/>
      <c r="AH6" s="41" t="str">
        <f>+_xlfn.XLOOKUP(E6,'[2]Personal Finance - TB (2)'!$J:$J,'[2]Personal Finance - TB (2)'!$G:$G,"",0)</f>
        <v/>
      </c>
      <c r="AM6" s="1" t="str">
        <f t="shared" si="1"/>
        <v>TABS.0025|DETAIL|0025::::NOSTRO ACCOUNT LCY||5||||||AC|SAR|5001|||||||||||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22"/>
      <c r="CA6" s="22"/>
      <c r="CB6" s="1"/>
      <c r="CC6" s="1"/>
      <c r="CD6" s="22"/>
      <c r="CE6" s="22"/>
      <c r="CF6" s="1"/>
      <c r="CG6" s="1"/>
      <c r="CH6" s="1"/>
      <c r="CI6" s="1"/>
      <c r="CJ6" s="1"/>
      <c r="CK6" s="1"/>
    </row>
    <row r="7" spans="1:89" s="41" customFormat="1" x14ac:dyDescent="0.2">
      <c r="A7" s="35" t="s">
        <v>120</v>
      </c>
      <c r="B7" s="36" t="s">
        <v>86</v>
      </c>
      <c r="C7" s="37"/>
      <c r="D7" s="38" t="s">
        <v>41</v>
      </c>
      <c r="E7" s="36" t="s">
        <v>166</v>
      </c>
      <c r="F7" s="36" t="s">
        <v>11</v>
      </c>
      <c r="G7" s="51" t="s">
        <v>159</v>
      </c>
      <c r="H7" s="39"/>
      <c r="I7" s="36" t="s">
        <v>111</v>
      </c>
      <c r="J7" s="36" t="str">
        <f t="shared" si="2"/>
        <v>TABS.0030</v>
      </c>
      <c r="K7" s="36" t="str">
        <f t="shared" si="3"/>
        <v>DETAIL</v>
      </c>
      <c r="L7" s="36" t="str">
        <f t="shared" si="0"/>
        <v>0030::::NOSTRO ACCOUNT FCY</v>
      </c>
      <c r="M7" s="36"/>
      <c r="N7" s="36">
        <v>5</v>
      </c>
      <c r="O7" s="36"/>
      <c r="P7" s="36"/>
      <c r="Q7" s="36"/>
      <c r="R7" s="36"/>
      <c r="S7" s="36"/>
      <c r="T7" s="36" t="s">
        <v>59</v>
      </c>
      <c r="U7" s="36"/>
      <c r="V7" s="54">
        <v>5001</v>
      </c>
      <c r="W7" s="36"/>
      <c r="X7" s="36"/>
      <c r="Y7" s="36"/>
      <c r="Z7" s="36"/>
      <c r="AA7" s="36"/>
      <c r="AB7" s="82"/>
      <c r="AC7" s="82"/>
      <c r="AD7" s="82"/>
      <c r="AE7" s="82"/>
      <c r="AF7" s="82"/>
      <c r="AG7" s="40"/>
      <c r="AH7" s="41" t="str">
        <f>+_xlfn.XLOOKUP(E7,'[2]Personal Finance - TB (2)'!$J:$J,'[2]Personal Finance - TB (2)'!$G:$G,"",0)</f>
        <v/>
      </c>
      <c r="AM7" s="1" t="str">
        <f t="shared" si="1"/>
        <v>TABS.0030|DETAIL|0030::::NOSTRO ACCOUNT FCY||5||||||AC||5001|||||||||||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22"/>
      <c r="CA7" s="22"/>
      <c r="CB7" s="1"/>
      <c r="CC7" s="1"/>
      <c r="CD7" s="22"/>
      <c r="CE7" s="22"/>
      <c r="CF7" s="1"/>
      <c r="CG7" s="1"/>
      <c r="CH7" s="1"/>
      <c r="CI7" s="1"/>
      <c r="CJ7" s="1"/>
      <c r="CK7" s="1"/>
    </row>
    <row r="8" spans="1:89" s="65" customFormat="1" x14ac:dyDescent="0.2">
      <c r="A8" s="66"/>
      <c r="B8" s="5" t="s">
        <v>86</v>
      </c>
      <c r="C8" s="3"/>
      <c r="D8" s="3" t="s">
        <v>43</v>
      </c>
      <c r="E8" s="5" t="s">
        <v>167</v>
      </c>
      <c r="F8" s="5" t="s">
        <v>12</v>
      </c>
      <c r="G8" s="67" t="s">
        <v>22</v>
      </c>
      <c r="H8" s="68"/>
      <c r="I8" s="5" t="s">
        <v>42</v>
      </c>
      <c r="J8" s="5" t="str">
        <f t="shared" si="2"/>
        <v>TABS.0100</v>
      </c>
      <c r="K8" s="5" t="str">
        <f t="shared" si="3"/>
        <v>TOTAL</v>
      </c>
      <c r="L8" s="5" t="str">
        <f t="shared" si="0"/>
        <v>**::::TOT - BALANCES WITH BANKS</v>
      </c>
      <c r="M8" s="5">
        <v>5</v>
      </c>
      <c r="N8" s="5">
        <v>4</v>
      </c>
      <c r="O8" s="5"/>
      <c r="P8" s="5">
        <v>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83"/>
      <c r="AC8" s="83"/>
      <c r="AD8" s="83"/>
      <c r="AE8" s="83"/>
      <c r="AF8" s="83"/>
      <c r="AG8" s="9"/>
      <c r="AH8" s="46" t="str">
        <f>+_xlfn.XLOOKUP(E8,'[2]Personal Finance - TB (2)'!$J:$J,'[2]Personal Finance - TB (2)'!$G:$G,"",0)</f>
        <v/>
      </c>
      <c r="AI8" s="46"/>
      <c r="AJ8" s="46"/>
      <c r="AK8" s="46"/>
      <c r="AL8" s="46"/>
      <c r="AM8" s="1" t="str">
        <f t="shared" si="1"/>
        <v>TABS.0100|TOTAL|**::::TOT - BALANCES WITH BANKS|5|4||1|||||||||||||||||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22" t="e">
        <f>+#REF!+1</f>
        <v>#REF!</v>
      </c>
      <c r="CA8" s="22"/>
      <c r="CB8" s="1">
        <v>10</v>
      </c>
      <c r="CC8" s="1">
        <v>10</v>
      </c>
      <c r="CD8" s="22"/>
      <c r="CE8" s="22"/>
      <c r="CF8" s="1"/>
      <c r="CG8" s="1"/>
      <c r="CH8" s="1"/>
      <c r="CI8" s="1"/>
      <c r="CJ8" s="1"/>
      <c r="CK8" s="1"/>
    </row>
    <row r="9" spans="1:89" s="65" customFormat="1" x14ac:dyDescent="0.2">
      <c r="A9" s="66"/>
      <c r="B9" s="5" t="s">
        <v>86</v>
      </c>
      <c r="C9" s="3"/>
      <c r="D9" s="44" t="s">
        <v>45</v>
      </c>
      <c r="E9" s="5" t="s">
        <v>168</v>
      </c>
      <c r="F9" s="5" t="s">
        <v>12</v>
      </c>
      <c r="G9" s="67" t="s">
        <v>30</v>
      </c>
      <c r="H9" s="68"/>
      <c r="I9" s="5" t="s">
        <v>44</v>
      </c>
      <c r="J9" s="5" t="str">
        <f t="shared" si="2"/>
        <v>TABS.0150</v>
      </c>
      <c r="K9" s="5" t="str">
        <f t="shared" si="3"/>
        <v>TOTAL</v>
      </c>
      <c r="L9" s="5" t="str">
        <f t="shared" si="0"/>
        <v>***::::TOT - CASH AND CASH EQUIVALENTS</v>
      </c>
      <c r="M9" s="5">
        <v>4</v>
      </c>
      <c r="N9" s="5">
        <v>3</v>
      </c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83"/>
      <c r="AC9" s="83"/>
      <c r="AD9" s="83"/>
      <c r="AE9" s="83"/>
      <c r="AF9" s="83"/>
      <c r="AG9" s="9"/>
      <c r="AH9" s="46" t="str">
        <f>+_xlfn.XLOOKUP(E9,'[2]Personal Finance - TB (2)'!$J:$J,'[2]Personal Finance - TB (2)'!$G:$G,"",0)</f>
        <v/>
      </c>
      <c r="AI9" s="46"/>
      <c r="AJ9" s="46"/>
      <c r="AK9" s="46"/>
      <c r="AL9" s="46"/>
      <c r="AM9" s="1" t="str">
        <f t="shared" si="1"/>
        <v>TABS.0150|TOTAL|***::::TOT - CASH AND CASH EQUIVALENTS|4|3||1|||||||||||||||||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22" t="e">
        <f t="shared" ref="BZ9:BZ10" si="4">+BZ8+1</f>
        <v>#REF!</v>
      </c>
      <c r="CA9" s="22"/>
      <c r="CB9" s="1">
        <v>10</v>
      </c>
      <c r="CC9" s="1">
        <v>10</v>
      </c>
      <c r="CD9" s="22"/>
      <c r="CE9" s="22"/>
      <c r="CF9" s="1"/>
      <c r="CG9" s="1"/>
      <c r="CH9" s="1"/>
      <c r="CI9" s="1"/>
      <c r="CJ9" s="1"/>
      <c r="CK9" s="1"/>
    </row>
    <row r="10" spans="1:89" x14ac:dyDescent="0.2">
      <c r="A10" s="43">
        <v>1.2</v>
      </c>
      <c r="B10" s="2" t="s">
        <v>86</v>
      </c>
      <c r="C10" s="3"/>
      <c r="D10" s="44" t="s">
        <v>46</v>
      </c>
      <c r="E10" s="2" t="s">
        <v>169</v>
      </c>
      <c r="F10" s="2" t="s">
        <v>10</v>
      </c>
      <c r="G10" s="50" t="s">
        <v>22</v>
      </c>
      <c r="H10" s="42"/>
      <c r="I10" s="61" t="s">
        <v>49</v>
      </c>
      <c r="J10" s="87" t="str">
        <f t="shared" si="2"/>
        <v>TABS.0200</v>
      </c>
      <c r="K10" s="87" t="str">
        <f t="shared" si="3"/>
        <v>HEADING</v>
      </c>
      <c r="L10" s="2" t="str">
        <f t="shared" si="0"/>
        <v>**::::ISLAMIC FIN. &amp; RELATED ASSETS</v>
      </c>
      <c r="M10" s="3"/>
      <c r="N10" s="2"/>
      <c r="O10" s="2"/>
      <c r="P10" s="2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81"/>
      <c r="AC10" s="81"/>
      <c r="AD10" s="81"/>
      <c r="AE10" s="81"/>
      <c r="AF10" s="81"/>
      <c r="AG10" s="7"/>
      <c r="AH10" s="1" t="str">
        <f>+_xlfn.XLOOKUP(E10,'[2]Personal Finance - TB (2)'!$J:$J,'[2]Personal Finance - TB (2)'!$G:$G,"",0)</f>
        <v/>
      </c>
      <c r="AM10" s="1" t="str">
        <f t="shared" si="1"/>
        <v>TABS.0200|HEADING|**::::ISLAMIC FIN. &amp; RELATED ASSETS||||1|||||||||||||||||</v>
      </c>
      <c r="BZ10" s="22" t="e">
        <f t="shared" si="4"/>
        <v>#REF!</v>
      </c>
      <c r="CB10" s="1">
        <v>10</v>
      </c>
      <c r="CC10" s="1">
        <v>10</v>
      </c>
    </row>
    <row r="11" spans="1:89" x14ac:dyDescent="0.2">
      <c r="A11" s="43" t="s">
        <v>106</v>
      </c>
      <c r="B11" s="2" t="s">
        <v>86</v>
      </c>
      <c r="C11" s="3"/>
      <c r="D11" s="44" t="s">
        <v>46</v>
      </c>
      <c r="E11" s="2" t="s">
        <v>170</v>
      </c>
      <c r="F11" s="2" t="s">
        <v>10</v>
      </c>
      <c r="G11" s="50" t="s">
        <v>22</v>
      </c>
      <c r="H11" s="42"/>
      <c r="I11" s="45" t="s">
        <v>47</v>
      </c>
      <c r="J11" s="88" t="str">
        <f t="shared" si="2"/>
        <v>TABS.0240</v>
      </c>
      <c r="K11" s="88" t="str">
        <f t="shared" si="3"/>
        <v>HEADING</v>
      </c>
      <c r="L11" s="2" t="str">
        <f t="shared" si="0"/>
        <v>**::::RETAIL FINANCING</v>
      </c>
      <c r="M11" s="3"/>
      <c r="N11" s="2"/>
      <c r="O11" s="2"/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81"/>
      <c r="AC11" s="81"/>
      <c r="AD11" s="81"/>
      <c r="AE11" s="81"/>
      <c r="AF11" s="81"/>
      <c r="AG11" s="7"/>
      <c r="AH11" s="1" t="str">
        <f>+_xlfn.XLOOKUP(E11,'[2]Personal Finance - TB (2)'!$J:$J,'[2]Personal Finance - TB (2)'!$G:$G,"",0)</f>
        <v/>
      </c>
      <c r="AM11" s="1" t="str">
        <f t="shared" si="1"/>
        <v>TABS.0240|HEADING|**::::RETAIL FINANCING||||1|||||||||||||||||</v>
      </c>
      <c r="CB11" s="1">
        <f>SUM(CB8:CB10)</f>
        <v>30</v>
      </c>
      <c r="CC11" s="1">
        <f>SUM(CC8:CC10)</f>
        <v>30</v>
      </c>
      <c r="CD11" s="24"/>
    </row>
    <row r="12" spans="1:89" x14ac:dyDescent="0.2">
      <c r="A12" s="43" t="s">
        <v>107</v>
      </c>
      <c r="B12" s="2" t="s">
        <v>86</v>
      </c>
      <c r="C12" s="3"/>
      <c r="D12" s="44" t="s">
        <v>46</v>
      </c>
      <c r="E12" s="2" t="s">
        <v>171</v>
      </c>
      <c r="F12" s="2" t="s">
        <v>10</v>
      </c>
      <c r="G12" s="50" t="s">
        <v>22</v>
      </c>
      <c r="H12" s="42"/>
      <c r="I12" s="61" t="s">
        <v>118</v>
      </c>
      <c r="J12" s="87" t="str">
        <f t="shared" si="2"/>
        <v>TABS.0250</v>
      </c>
      <c r="K12" s="87" t="str">
        <f t="shared" si="3"/>
        <v>HEADING</v>
      </c>
      <c r="L12" s="2" t="str">
        <f t="shared" si="0"/>
        <v>**::::TAWARRUQ FINANCING</v>
      </c>
      <c r="M12" s="3"/>
      <c r="N12" s="2"/>
      <c r="O12" s="2"/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81"/>
      <c r="AC12" s="81"/>
      <c r="AD12" s="81"/>
      <c r="AE12" s="81"/>
      <c r="AF12" s="81"/>
      <c r="AG12" s="7"/>
      <c r="AH12" s="1" t="str">
        <f>+_xlfn.XLOOKUP(E12,'[2]Personal Finance - TB (2)'!$J:$J,'[2]Personal Finance - TB (2)'!$G:$G,"",0)</f>
        <v/>
      </c>
      <c r="AM12" s="1" t="str">
        <f t="shared" si="1"/>
        <v>TABS.0250|HEADING|**::::TAWARRUQ FINANCING||||1|||||||||||||||||</v>
      </c>
      <c r="BZ12" s="22" t="s">
        <v>100</v>
      </c>
      <c r="CA12" s="22" t="s">
        <v>96</v>
      </c>
      <c r="CB12" s="1" t="s">
        <v>97</v>
      </c>
      <c r="CH12" s="22"/>
      <c r="CI12" s="22"/>
    </row>
    <row r="13" spans="1:89" s="41" customFormat="1" x14ac:dyDescent="0.2">
      <c r="A13" s="35" t="s">
        <v>114</v>
      </c>
      <c r="B13" s="36" t="s">
        <v>86</v>
      </c>
      <c r="C13" s="37"/>
      <c r="D13" s="37"/>
      <c r="E13" s="36" t="str">
        <f>_xlfn.CONCAT($B$1,G13)</f>
        <v>TABS.0260</v>
      </c>
      <c r="F13" s="36" t="s">
        <v>11</v>
      </c>
      <c r="G13" s="51" t="s">
        <v>46</v>
      </c>
      <c r="H13" s="39"/>
      <c r="I13" s="36" t="s">
        <v>380</v>
      </c>
      <c r="J13" s="36" t="str">
        <f t="shared" si="2"/>
        <v>TABS.0260</v>
      </c>
      <c r="K13" s="36" t="str">
        <f t="shared" si="3"/>
        <v>DETAIL</v>
      </c>
      <c r="L13" s="36" t="str">
        <f t="shared" si="0"/>
        <v>0260::::TAWARRUQ - PRINCIPAL</v>
      </c>
      <c r="M13" s="36"/>
      <c r="N13" s="36">
        <v>6</v>
      </c>
      <c r="O13" s="36"/>
      <c r="P13" s="36"/>
      <c r="Q13" s="36"/>
      <c r="R13" s="36"/>
      <c r="S13" s="36"/>
      <c r="T13" s="36" t="s">
        <v>422</v>
      </c>
      <c r="U13" s="36"/>
      <c r="V13" s="54" t="s">
        <v>423</v>
      </c>
      <c r="W13" s="36"/>
      <c r="X13" s="36"/>
      <c r="Y13" s="36"/>
      <c r="Z13" s="36" t="s">
        <v>424</v>
      </c>
      <c r="AA13" s="36"/>
      <c r="AB13" s="82"/>
      <c r="AC13" s="82"/>
      <c r="AD13" s="82"/>
      <c r="AE13" s="82"/>
      <c r="AF13" s="82"/>
      <c r="AG13" s="40"/>
      <c r="AH13" s="41" t="str">
        <f>+_xlfn.XLOOKUP(E13,'[2]Personal Finance - TB (2)'!$J:$J,'[2]Personal Finance - TB (2)'!$G:$G,"",0)</f>
        <v/>
      </c>
      <c r="AK13" s="41" t="b">
        <f>+IF(AH13=H13,TRUE,FALSE)</f>
        <v>1</v>
      </c>
      <c r="AM13" s="1" t="str">
        <f t="shared" si="1"/>
        <v>TABS.0260|DETAIL|0260::::TAWARRUQ - PRINCIPAL||6||||||AC::AC||3114::3114||||CURACCOUNT::DUEACCOUNT|||||||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22">
        <v>-100000</v>
      </c>
      <c r="CA13" s="22">
        <v>-5000</v>
      </c>
      <c r="CB13" s="22">
        <v>6000</v>
      </c>
      <c r="CC13" s="1"/>
      <c r="CD13" s="22"/>
      <c r="CE13" s="22"/>
      <c r="CF13" s="1"/>
      <c r="CG13" s="1"/>
      <c r="CH13" s="22"/>
      <c r="CI13" s="22"/>
      <c r="CJ13" s="1"/>
      <c r="CK13" s="1"/>
    </row>
    <row r="14" spans="1:89" s="41" customFormat="1" x14ac:dyDescent="0.2">
      <c r="A14" s="35" t="s">
        <v>115</v>
      </c>
      <c r="B14" s="36" t="s">
        <v>86</v>
      </c>
      <c r="C14" s="37"/>
      <c r="D14" s="37"/>
      <c r="E14" s="36" t="str">
        <f t="shared" ref="E14:E18" si="5">_xlfn.CONCAT($B$1,G14)</f>
        <v>TABS.0270</v>
      </c>
      <c r="F14" s="36" t="s">
        <v>11</v>
      </c>
      <c r="G14" s="51" t="s">
        <v>586</v>
      </c>
      <c r="H14" s="39"/>
      <c r="I14" s="36" t="s">
        <v>382</v>
      </c>
      <c r="J14" s="36" t="str">
        <f t="shared" si="2"/>
        <v>TABS.0270</v>
      </c>
      <c r="K14" s="36" t="str">
        <f t="shared" si="3"/>
        <v>DETAIL</v>
      </c>
      <c r="L14" s="36" t="str">
        <f t="shared" si="0"/>
        <v>0270::::TAWARRUQ - OVERDUE PRINCIPAL</v>
      </c>
      <c r="M14" s="36"/>
      <c r="N14" s="36">
        <v>6</v>
      </c>
      <c r="O14" s="36"/>
      <c r="P14" s="36"/>
      <c r="Q14" s="36"/>
      <c r="R14" s="36"/>
      <c r="S14" s="36"/>
      <c r="T14" s="36" t="s">
        <v>425</v>
      </c>
      <c r="U14" s="36"/>
      <c r="V14" s="54" t="s">
        <v>426</v>
      </c>
      <c r="W14" s="36"/>
      <c r="X14" s="36"/>
      <c r="Y14" s="36"/>
      <c r="Z14" s="36" t="s">
        <v>427</v>
      </c>
      <c r="AA14" s="36"/>
      <c r="AB14" s="82"/>
      <c r="AC14" s="82"/>
      <c r="AD14" s="82"/>
      <c r="AE14" s="82"/>
      <c r="AF14" s="82"/>
      <c r="AG14" s="40"/>
      <c r="AM14" s="1" t="str">
        <f t="shared" si="1"/>
        <v>TABS.0270|DETAIL|0270::::TAWARRUQ - OVERDUE PRINCIPAL||6||||||AC::AC::AC::AC::AC::AC::AC||3114::3114::3114::3114::3114::3114::3114||||S01ACCOUNT::S2AACCOUNT::S2BACCOUNT::S3AACCOUNT::S3BACCOUNT::S4AACCOUNT::S4BACCOUNT|||||||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22"/>
      <c r="CA14" s="22"/>
      <c r="CB14" s="22"/>
      <c r="CC14" s="1"/>
      <c r="CD14" s="22"/>
      <c r="CE14" s="22"/>
      <c r="CF14" s="1"/>
      <c r="CG14" s="1"/>
      <c r="CH14" s="22"/>
      <c r="CI14" s="22"/>
      <c r="CJ14" s="1"/>
      <c r="CK14" s="1"/>
    </row>
    <row r="15" spans="1:89" s="41" customFormat="1" x14ac:dyDescent="0.2">
      <c r="A15" s="35" t="s">
        <v>544</v>
      </c>
      <c r="B15" s="36" t="s">
        <v>86</v>
      </c>
      <c r="C15" s="37"/>
      <c r="D15" s="37"/>
      <c r="E15" s="36" t="str">
        <f t="shared" si="5"/>
        <v>TABS.0280</v>
      </c>
      <c r="F15" s="36" t="s">
        <v>11</v>
      </c>
      <c r="G15" s="51" t="s">
        <v>587</v>
      </c>
      <c r="H15" s="39"/>
      <c r="I15" s="36" t="s">
        <v>381</v>
      </c>
      <c r="J15" s="36" t="str">
        <f t="shared" si="2"/>
        <v>TABS.0280</v>
      </c>
      <c r="K15" s="36" t="str">
        <f t="shared" si="3"/>
        <v>DETAIL</v>
      </c>
      <c r="L15" s="36" t="str">
        <f t="shared" si="0"/>
        <v>0280::::TAWARRUQ - PRFT RECEIVABLE</v>
      </c>
      <c r="M15" s="36"/>
      <c r="N15" s="36">
        <v>6</v>
      </c>
      <c r="O15" s="36"/>
      <c r="P15" s="36"/>
      <c r="Q15" s="36"/>
      <c r="R15" s="36"/>
      <c r="S15" s="36"/>
      <c r="T15" s="36" t="s">
        <v>422</v>
      </c>
      <c r="U15" s="36"/>
      <c r="V15" s="54" t="s">
        <v>423</v>
      </c>
      <c r="W15" s="36"/>
      <c r="X15" s="36"/>
      <c r="Y15" s="36"/>
      <c r="Z15" s="36" t="s">
        <v>428</v>
      </c>
      <c r="AA15" s="36"/>
      <c r="AB15" s="82"/>
      <c r="AC15" s="82"/>
      <c r="AD15" s="82"/>
      <c r="AE15" s="82"/>
      <c r="AF15" s="82"/>
      <c r="AG15" s="40"/>
      <c r="AH15" s="41" t="str">
        <f>+_xlfn.XLOOKUP(E15,'[2]Personal Finance - TB (2)'!$J:$J,'[2]Personal Finance - TB (2)'!$G:$G,"",0)</f>
        <v/>
      </c>
      <c r="AK15" s="41" t="b">
        <f>+IF(AH15=H15,TRUE,FALSE)</f>
        <v>1</v>
      </c>
      <c r="AM15" s="1" t="str">
        <f t="shared" si="1"/>
        <v>TABS.0280|DETAIL|0280::::TAWARRUQ - PRFT RECEIVABLE||6||||||AC::AC||3114::3114||||RECDEFERREDPFT::DUEDEFERREDPFT|||||||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2"/>
      <c r="CA15" s="22"/>
      <c r="CB15" s="1"/>
      <c r="CC15" s="1"/>
      <c r="CD15" s="22"/>
      <c r="CE15" s="22"/>
      <c r="CF15" s="1"/>
      <c r="CG15" s="1"/>
      <c r="CH15" s="22"/>
      <c r="CI15" s="22"/>
      <c r="CJ15" s="1"/>
      <c r="CK15" s="1"/>
    </row>
    <row r="16" spans="1:89" x14ac:dyDescent="0.2">
      <c r="A16" s="35" t="s">
        <v>545</v>
      </c>
      <c r="B16" s="36" t="s">
        <v>86</v>
      </c>
      <c r="C16" s="37"/>
      <c r="D16" s="37"/>
      <c r="E16" s="36" t="str">
        <f t="shared" si="5"/>
        <v>TABS.0290</v>
      </c>
      <c r="F16" s="36" t="s">
        <v>11</v>
      </c>
      <c r="G16" s="51" t="s">
        <v>588</v>
      </c>
      <c r="H16" s="34"/>
      <c r="I16" s="4" t="s">
        <v>383</v>
      </c>
      <c r="J16" s="4" t="str">
        <f t="shared" si="2"/>
        <v>TABS.0290</v>
      </c>
      <c r="K16" s="4" t="str">
        <f t="shared" si="3"/>
        <v>DETAIL</v>
      </c>
      <c r="L16" s="4" t="str">
        <f t="shared" si="0"/>
        <v>0290::::TAWARRUQ - OVERDUE PRFT RECEIVABLE</v>
      </c>
      <c r="M16" s="4"/>
      <c r="N16" s="4">
        <v>6</v>
      </c>
      <c r="O16" s="4"/>
      <c r="P16" s="4"/>
      <c r="Q16" s="4"/>
      <c r="R16" s="4"/>
      <c r="S16" s="4"/>
      <c r="T16" s="36" t="s">
        <v>429</v>
      </c>
      <c r="U16" s="36"/>
      <c r="V16" s="54" t="s">
        <v>426</v>
      </c>
      <c r="W16" s="4"/>
      <c r="X16" s="4"/>
      <c r="Y16" s="4"/>
      <c r="Z16" s="4" t="s">
        <v>433</v>
      </c>
      <c r="AA16" s="4"/>
      <c r="AB16" s="84"/>
      <c r="AC16" s="84"/>
      <c r="AD16" s="84"/>
      <c r="AE16" s="84"/>
      <c r="AF16" s="84"/>
      <c r="AG16" s="8"/>
      <c r="AM16" s="1" t="str">
        <f t="shared" si="1"/>
        <v>TABS.0290|DETAIL|0290::::TAWARRUQ - OVERDUE PRFT RECEIVABLE||6||||||AC::AC::AC::AC::AC::AC::AC::AC||3114::3114::3114::3114::3114::3114::3114||||S01DEFERREDPFT::S2ADEFERREDPFT::S2BDEFERREDPFT::S3ADEFERREDPFT::S3BDEFERREDPFT::S4ADEFERREDPFT::S4BDEFERREDPFT|||||||</v>
      </c>
      <c r="CH16" s="22"/>
      <c r="CI16" s="22"/>
    </row>
    <row r="17" spans="1:87" x14ac:dyDescent="0.2">
      <c r="A17" s="35" t="s">
        <v>546</v>
      </c>
      <c r="B17" s="36" t="s">
        <v>86</v>
      </c>
      <c r="C17" s="37"/>
      <c r="D17" s="37"/>
      <c r="E17" s="36" t="str">
        <f t="shared" si="5"/>
        <v>TABS.0300</v>
      </c>
      <c r="F17" s="36" t="s">
        <v>11</v>
      </c>
      <c r="G17" s="51" t="s">
        <v>160</v>
      </c>
      <c r="H17" s="34"/>
      <c r="I17" s="4" t="s">
        <v>432</v>
      </c>
      <c r="J17" s="4" t="str">
        <f t="shared" si="2"/>
        <v>TABS.0300</v>
      </c>
      <c r="K17" s="4" t="str">
        <f t="shared" si="3"/>
        <v>DETAIL</v>
      </c>
      <c r="L17" s="4" t="str">
        <f t="shared" si="0"/>
        <v>0300::::TAWARRUQ - SUSPENDED PROFIT</v>
      </c>
      <c r="M17" s="4"/>
      <c r="N17" s="4">
        <v>6</v>
      </c>
      <c r="O17" s="4"/>
      <c r="P17" s="4"/>
      <c r="Q17" s="4"/>
      <c r="R17" s="4"/>
      <c r="S17" s="4"/>
      <c r="T17" s="36" t="s">
        <v>429</v>
      </c>
      <c r="U17" s="36"/>
      <c r="V17" s="54" t="s">
        <v>710</v>
      </c>
      <c r="W17" s="4"/>
      <c r="X17" s="4"/>
      <c r="Y17" s="4"/>
      <c r="Z17" s="4" t="s">
        <v>731</v>
      </c>
      <c r="AA17" s="4"/>
      <c r="AB17" s="84"/>
      <c r="AC17" s="84"/>
      <c r="AD17" s="84"/>
      <c r="AE17" s="84"/>
      <c r="AF17" s="84"/>
      <c r="AG17" s="8"/>
      <c r="AM17" s="1" t="str">
        <f t="shared" si="1"/>
        <v>TABS.0300|DETAIL|0300::::TAWARRUQ - SUSPENDED PROFIT||6||||||AC::AC::AC::AC::AC::AC::AC::AC||3114::3114::3114::3114::3114::3114::3114::3114::3114||||SPDUEDEFERREDPFT::SPS01DEFERREDPFT::SPS2ADEFERREDPFT::SPS2BDEFERREDPFT::SPS3ADEFERREDPFT::SPS3BDEFERREDPFT::SPS4ADEFERREDPFT::SPS4BDEFERREDPFT::SPACCDEFERREDPFT|||||||</v>
      </c>
      <c r="CH17" s="22"/>
      <c r="CI17" s="22"/>
    </row>
    <row r="18" spans="1:87" x14ac:dyDescent="0.2">
      <c r="A18" s="35" t="s">
        <v>547</v>
      </c>
      <c r="B18" s="36" t="s">
        <v>86</v>
      </c>
      <c r="C18" s="37"/>
      <c r="D18" s="37"/>
      <c r="E18" s="36" t="str">
        <f t="shared" si="5"/>
        <v>TABS.0310</v>
      </c>
      <c r="F18" s="36" t="s">
        <v>11</v>
      </c>
      <c r="G18" s="51" t="s">
        <v>589</v>
      </c>
      <c r="H18" s="34"/>
      <c r="I18" s="4" t="s">
        <v>395</v>
      </c>
      <c r="J18" s="4" t="str">
        <f t="shared" si="2"/>
        <v>TABS.0310</v>
      </c>
      <c r="K18" s="4" t="str">
        <f t="shared" si="3"/>
        <v>DETAIL</v>
      </c>
      <c r="L18" s="4" t="str">
        <f t="shared" si="0"/>
        <v>0310::::TAWARRUQ - UNEARNED INCOME</v>
      </c>
      <c r="M18" s="4"/>
      <c r="N18" s="4">
        <v>6</v>
      </c>
      <c r="O18" s="4"/>
      <c r="P18" s="4"/>
      <c r="Q18" s="4"/>
      <c r="R18" s="4"/>
      <c r="S18" s="4"/>
      <c r="T18" s="36" t="s">
        <v>59</v>
      </c>
      <c r="U18" s="36"/>
      <c r="V18" s="54">
        <v>3114</v>
      </c>
      <c r="W18" s="4"/>
      <c r="X18" s="4"/>
      <c r="Y18" s="4"/>
      <c r="Z18" s="4" t="s">
        <v>431</v>
      </c>
      <c r="AA18" s="4"/>
      <c r="AB18" s="84"/>
      <c r="AC18" s="84"/>
      <c r="AD18" s="84"/>
      <c r="AE18" s="84"/>
      <c r="AF18" s="84"/>
      <c r="AG18" s="8"/>
      <c r="AM18" s="1" t="str">
        <f t="shared" si="1"/>
        <v>TABS.0310|DETAIL|0310::::TAWARRUQ - UNEARNED INCOME||6||||||AC||3114||||ACCDEFERREDPFT|||||||</v>
      </c>
      <c r="CH18" s="22"/>
      <c r="CI18" s="22"/>
    </row>
    <row r="19" spans="1:87" x14ac:dyDescent="0.2">
      <c r="A19" s="35" t="s">
        <v>547</v>
      </c>
      <c r="B19" s="36" t="s">
        <v>86</v>
      </c>
      <c r="C19" s="37"/>
      <c r="D19" s="37"/>
      <c r="E19" s="36" t="str">
        <f t="shared" ref="E19" si="6">_xlfn.CONCAT($B$1,G19)</f>
        <v>TABS.0315</v>
      </c>
      <c r="F19" s="36" t="s">
        <v>11</v>
      </c>
      <c r="G19" s="51" t="s">
        <v>736</v>
      </c>
      <c r="H19" s="34"/>
      <c r="I19" s="4" t="s">
        <v>737</v>
      </c>
      <c r="J19" s="4" t="str">
        <f t="shared" ref="J19" si="7">+E19</f>
        <v>TABS.0315</v>
      </c>
      <c r="K19" s="4" t="str">
        <f t="shared" ref="K19" si="8">+F19</f>
        <v>DETAIL</v>
      </c>
      <c r="L19" s="4" t="str">
        <f t="shared" ref="L19" si="9">+_xlfn.TEXTJOIN("::",FALSE,G19:I19)</f>
        <v>0315::::TAWARRUQ - PROVISION FOR ECL</v>
      </c>
      <c r="M19" s="4"/>
      <c r="N19" s="4">
        <v>6</v>
      </c>
      <c r="O19" s="4"/>
      <c r="P19" s="4"/>
      <c r="Q19" s="4"/>
      <c r="R19" s="4"/>
      <c r="S19" s="4"/>
      <c r="T19" s="36" t="s">
        <v>59</v>
      </c>
      <c r="U19" s="36"/>
      <c r="V19" s="54">
        <v>3114</v>
      </c>
      <c r="W19" s="4"/>
      <c r="X19" s="4"/>
      <c r="Y19" s="4"/>
      <c r="Z19" s="4">
        <v>51051</v>
      </c>
      <c r="AA19" s="4"/>
      <c r="AB19" s="84"/>
      <c r="AC19" s="84"/>
      <c r="AD19" s="84"/>
      <c r="AE19" s="84"/>
      <c r="AF19" s="84"/>
      <c r="AG19" s="8"/>
      <c r="AM19" s="1" t="str">
        <f t="shared" ref="AM19" si="10">+_xlfn.TEXTJOIN("|",FALSE,J19:AG19)</f>
        <v>TABS.0315|DETAIL|0315::::TAWARRUQ - PROVISION FOR ECL||6||||||AC||3114||||51051|||||||</v>
      </c>
      <c r="CH19" s="22"/>
      <c r="CI19" s="22"/>
    </row>
    <row r="20" spans="1:87" s="65" customFormat="1" x14ac:dyDescent="0.2">
      <c r="A20" s="66"/>
      <c r="B20" s="5" t="s">
        <v>86</v>
      </c>
      <c r="C20" s="16"/>
      <c r="D20" s="19">
        <v>1020</v>
      </c>
      <c r="E20" s="5" t="s">
        <v>590</v>
      </c>
      <c r="F20" s="5" t="s">
        <v>12</v>
      </c>
      <c r="G20" s="67" t="s">
        <v>22</v>
      </c>
      <c r="H20" s="68"/>
      <c r="I20" s="5" t="s">
        <v>548</v>
      </c>
      <c r="J20" s="5" t="str">
        <f t="shared" si="2"/>
        <v>TABS.0390</v>
      </c>
      <c r="K20" s="5" t="str">
        <f t="shared" si="3"/>
        <v>TOTAL</v>
      </c>
      <c r="L20" s="5" t="str">
        <f t="shared" ref="L20:L95" si="11">+_xlfn.TEXTJOIN("::",FALSE,G20:I20)</f>
        <v>**::::TOT - TAWARRUQ FINANCING</v>
      </c>
      <c r="M20" s="5">
        <v>6</v>
      </c>
      <c r="N20" s="5">
        <v>5</v>
      </c>
      <c r="O20" s="5"/>
      <c r="P20" s="5">
        <v>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83"/>
      <c r="AC20" s="83"/>
      <c r="AD20" s="83"/>
      <c r="AE20" s="83"/>
      <c r="AF20" s="83"/>
      <c r="AG20" s="9"/>
      <c r="AH20" s="65" t="str">
        <f>+_xlfn.XLOOKUP(E20,'[2]Personal Finance - TB (2)'!$J:$J,'[2]Personal Finance - TB (2)'!$G:$G,"",0)</f>
        <v/>
      </c>
      <c r="AM20" s="1" t="str">
        <f t="shared" si="1"/>
        <v>TABS.0390|TOTAL|**::::TOT - TAWARRUQ FINANCING|6|5||1|||||||||||||||||</v>
      </c>
      <c r="BZ20" s="75"/>
      <c r="CA20" s="75"/>
      <c r="CH20" s="76"/>
      <c r="CI20" s="75"/>
    </row>
    <row r="21" spans="1:87" s="46" customFormat="1" x14ac:dyDescent="0.2">
      <c r="A21" s="43" t="s">
        <v>129</v>
      </c>
      <c r="B21" s="2" t="s">
        <v>86</v>
      </c>
      <c r="C21" s="3"/>
      <c r="D21" s="44"/>
      <c r="E21" s="2" t="s">
        <v>172</v>
      </c>
      <c r="F21" s="2" t="s">
        <v>10</v>
      </c>
      <c r="G21" s="50" t="s">
        <v>22</v>
      </c>
      <c r="H21" s="42"/>
      <c r="I21" s="61" t="s">
        <v>113</v>
      </c>
      <c r="J21" s="87" t="str">
        <f t="shared" si="2"/>
        <v>TABS.0400</v>
      </c>
      <c r="K21" s="87" t="str">
        <f t="shared" si="3"/>
        <v>HEADING</v>
      </c>
      <c r="L21" s="2" t="str">
        <f t="shared" si="11"/>
        <v>**::::IJARAH FINANCING</v>
      </c>
      <c r="M21" s="2"/>
      <c r="N21" s="2"/>
      <c r="O21" s="2"/>
      <c r="P21" s="2">
        <v>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81"/>
      <c r="AC21" s="81"/>
      <c r="AD21" s="81"/>
      <c r="AE21" s="81"/>
      <c r="AF21" s="81"/>
      <c r="AG21" s="7"/>
      <c r="AM21" s="1" t="str">
        <f t="shared" si="1"/>
        <v>TABS.0400|HEADING|**::::IJARAH FINANCING||||1|||||||||||||||||</v>
      </c>
      <c r="BZ21" s="79"/>
      <c r="CA21" s="79"/>
      <c r="CH21" s="80"/>
      <c r="CI21" s="79"/>
    </row>
    <row r="22" spans="1:87" x14ac:dyDescent="0.2">
      <c r="A22" s="31" t="s">
        <v>130</v>
      </c>
      <c r="B22" s="4" t="s">
        <v>86</v>
      </c>
      <c r="C22" s="6"/>
      <c r="D22" s="23"/>
      <c r="E22" s="36" t="s">
        <v>173</v>
      </c>
      <c r="F22" s="4" t="s">
        <v>11</v>
      </c>
      <c r="G22" s="52" t="s">
        <v>161</v>
      </c>
      <c r="H22" s="34"/>
      <c r="I22" s="36" t="s">
        <v>384</v>
      </c>
      <c r="J22" s="36" t="str">
        <f t="shared" si="2"/>
        <v>TABS.0410</v>
      </c>
      <c r="K22" s="36" t="str">
        <f t="shared" si="3"/>
        <v>DETAIL</v>
      </c>
      <c r="L22" s="36" t="str">
        <f t="shared" si="11"/>
        <v>0410::::IJARAH - PRINCIPAL</v>
      </c>
      <c r="M22" s="4"/>
      <c r="N22" s="4">
        <v>6</v>
      </c>
      <c r="O22" s="4"/>
      <c r="P22" s="4"/>
      <c r="Q22" s="4"/>
      <c r="R22" s="4"/>
      <c r="S22" s="4"/>
      <c r="T22" s="36" t="s">
        <v>422</v>
      </c>
      <c r="U22" s="36"/>
      <c r="V22" s="54" t="s">
        <v>435</v>
      </c>
      <c r="W22" s="36"/>
      <c r="X22" s="4"/>
      <c r="Y22" s="4"/>
      <c r="Z22" s="36" t="s">
        <v>424</v>
      </c>
      <c r="AA22" s="4"/>
      <c r="AB22" s="84"/>
      <c r="AC22" s="84"/>
      <c r="AD22" s="84"/>
      <c r="AE22" s="84"/>
      <c r="AF22" s="84"/>
      <c r="AG22" s="8"/>
      <c r="AM22" s="1" t="str">
        <f t="shared" si="1"/>
        <v>TABS.0410|DETAIL|0410::::IJARAH - PRINCIPAL||6||||||AC::AC||3116::3116||||CURACCOUNT::DUEACCOUNT|||||||</v>
      </c>
      <c r="CD22" s="1"/>
      <c r="CE22" s="1"/>
      <c r="CH22" s="24"/>
      <c r="CI22" s="22"/>
    </row>
    <row r="23" spans="1:87" x14ac:dyDescent="0.2">
      <c r="A23" s="31" t="s">
        <v>131</v>
      </c>
      <c r="B23" s="4" t="s">
        <v>86</v>
      </c>
      <c r="C23" s="6"/>
      <c r="D23" s="23"/>
      <c r="E23" s="36" t="s">
        <v>174</v>
      </c>
      <c r="F23" s="4" t="s">
        <v>11</v>
      </c>
      <c r="G23" s="52" t="s">
        <v>162</v>
      </c>
      <c r="H23" s="34"/>
      <c r="I23" s="36" t="s">
        <v>385</v>
      </c>
      <c r="J23" s="36" t="str">
        <f t="shared" si="2"/>
        <v>TABS.0420</v>
      </c>
      <c r="K23" s="36" t="str">
        <f t="shared" si="3"/>
        <v>DETAIL</v>
      </c>
      <c r="L23" s="36" t="str">
        <f t="shared" si="11"/>
        <v>0420::::IJARAH - OVERDUE PRINCIPAL</v>
      </c>
      <c r="M23" s="4"/>
      <c r="N23" s="4">
        <v>6</v>
      </c>
      <c r="O23" s="4"/>
      <c r="P23" s="4"/>
      <c r="Q23" s="4"/>
      <c r="R23" s="4"/>
      <c r="S23" s="4"/>
      <c r="T23" s="36" t="s">
        <v>425</v>
      </c>
      <c r="U23" s="36"/>
      <c r="V23" s="54" t="s">
        <v>436</v>
      </c>
      <c r="W23" s="36"/>
      <c r="X23" s="4"/>
      <c r="Y23" s="4"/>
      <c r="Z23" s="36" t="s">
        <v>427</v>
      </c>
      <c r="AA23" s="4"/>
      <c r="AB23" s="84"/>
      <c r="AC23" s="84"/>
      <c r="AD23" s="84"/>
      <c r="AE23" s="84"/>
      <c r="AF23" s="84"/>
      <c r="AG23" s="8"/>
      <c r="AM23" s="1" t="str">
        <f t="shared" si="1"/>
        <v>TABS.0420|DETAIL|0420::::IJARAH - OVERDUE PRINCIPAL||6||||||AC::AC::AC::AC::AC::AC::AC||3116::3116::3116::3116::3116::3116::3116||||S01ACCOUNT::S2AACCOUNT::S2BACCOUNT::S3AACCOUNT::S3BACCOUNT::S4AACCOUNT::S4BACCOUNT|||||||</v>
      </c>
      <c r="CD23" s="1"/>
      <c r="CE23" s="1"/>
      <c r="CH23" s="24"/>
      <c r="CI23" s="22"/>
    </row>
    <row r="24" spans="1:87" x14ac:dyDescent="0.2">
      <c r="A24" s="31" t="s">
        <v>549</v>
      </c>
      <c r="B24" s="4" t="s">
        <v>86</v>
      </c>
      <c r="C24" s="6"/>
      <c r="D24" s="23"/>
      <c r="E24" s="36" t="s">
        <v>595</v>
      </c>
      <c r="F24" s="4" t="s">
        <v>11</v>
      </c>
      <c r="G24" s="52" t="s">
        <v>591</v>
      </c>
      <c r="H24" s="34"/>
      <c r="I24" s="36" t="s">
        <v>386</v>
      </c>
      <c r="J24" s="36" t="str">
        <f t="shared" si="2"/>
        <v>TABS.0430</v>
      </c>
      <c r="K24" s="36" t="str">
        <f t="shared" si="3"/>
        <v>DETAIL</v>
      </c>
      <c r="L24" s="36" t="str">
        <f t="shared" si="11"/>
        <v>0430::::IJARAH - PRFT RECEIVABLE</v>
      </c>
      <c r="M24" s="4"/>
      <c r="N24" s="4">
        <v>6</v>
      </c>
      <c r="O24" s="4"/>
      <c r="P24" s="4"/>
      <c r="Q24" s="4"/>
      <c r="R24" s="4"/>
      <c r="S24" s="4"/>
      <c r="T24" s="36" t="s">
        <v>422</v>
      </c>
      <c r="U24" s="36"/>
      <c r="V24" s="54" t="s">
        <v>435</v>
      </c>
      <c r="W24" s="36"/>
      <c r="X24" s="4"/>
      <c r="Y24" s="4"/>
      <c r="Z24" s="36" t="s">
        <v>428</v>
      </c>
      <c r="AA24" s="4"/>
      <c r="AB24" s="84"/>
      <c r="AC24" s="84"/>
      <c r="AD24" s="84"/>
      <c r="AE24" s="84"/>
      <c r="AF24" s="84"/>
      <c r="AG24" s="8"/>
      <c r="AM24" s="1" t="str">
        <f t="shared" si="1"/>
        <v>TABS.0430|DETAIL|0430::::IJARAH - PRFT RECEIVABLE||6||||||AC::AC||3116::3116||||RECDEFERREDPFT::DUEDEFERREDPFT|||||||</v>
      </c>
      <c r="CD24" s="1"/>
      <c r="CE24" s="1"/>
      <c r="CH24" s="24"/>
      <c r="CI24" s="22"/>
    </row>
    <row r="25" spans="1:87" x14ac:dyDescent="0.2">
      <c r="A25" s="31" t="s">
        <v>550</v>
      </c>
      <c r="B25" s="4" t="s">
        <v>86</v>
      </c>
      <c r="C25" s="6"/>
      <c r="D25" s="23"/>
      <c r="E25" s="36" t="s">
        <v>596</v>
      </c>
      <c r="F25" s="4" t="s">
        <v>11</v>
      </c>
      <c r="G25" s="52" t="s">
        <v>592</v>
      </c>
      <c r="H25" s="34"/>
      <c r="I25" s="36" t="s">
        <v>387</v>
      </c>
      <c r="J25" s="36" t="str">
        <f t="shared" si="2"/>
        <v>TABS.0440</v>
      </c>
      <c r="K25" s="36" t="str">
        <f t="shared" si="3"/>
        <v>DETAIL</v>
      </c>
      <c r="L25" s="36" t="str">
        <f t="shared" si="11"/>
        <v>0440::::IJARAH - OVERDUE PRFT RECEIVABLE</v>
      </c>
      <c r="M25" s="4"/>
      <c r="N25" s="4">
        <v>6</v>
      </c>
      <c r="O25" s="4"/>
      <c r="P25" s="4"/>
      <c r="Q25" s="4"/>
      <c r="R25" s="4"/>
      <c r="S25" s="4"/>
      <c r="T25" s="36" t="s">
        <v>425</v>
      </c>
      <c r="U25" s="36"/>
      <c r="V25" s="54" t="s">
        <v>436</v>
      </c>
      <c r="W25" s="36"/>
      <c r="X25" s="4"/>
      <c r="Y25" s="4"/>
      <c r="Z25" s="36" t="s">
        <v>433</v>
      </c>
      <c r="AA25" s="4"/>
      <c r="AB25" s="84"/>
      <c r="AC25" s="84"/>
      <c r="AD25" s="84"/>
      <c r="AE25" s="84"/>
      <c r="AF25" s="84"/>
      <c r="AG25" s="8"/>
      <c r="AM25" s="1" t="str">
        <f t="shared" si="1"/>
        <v>TABS.0440|DETAIL|0440::::IJARAH - OVERDUE PRFT RECEIVABLE||6||||||AC::AC::AC::AC::AC::AC::AC||3116::3116::3116::3116::3116::3116::3116||||S01DEFERREDPFT::S2ADEFERREDPFT::S2BDEFERREDPFT::S3ADEFERREDPFT::S3BDEFERREDPFT::S4ADEFERREDPFT::S4BDEFERREDPFT|||||||</v>
      </c>
      <c r="CD25" s="1"/>
      <c r="CE25" s="1"/>
      <c r="CH25" s="24"/>
      <c r="CI25" s="22"/>
    </row>
    <row r="26" spans="1:87" x14ac:dyDescent="0.2">
      <c r="A26" s="31" t="s">
        <v>551</v>
      </c>
      <c r="B26" s="4" t="s">
        <v>86</v>
      </c>
      <c r="C26" s="6"/>
      <c r="D26" s="23"/>
      <c r="E26" s="36" t="s">
        <v>597</v>
      </c>
      <c r="F26" s="4" t="s">
        <v>11</v>
      </c>
      <c r="G26" s="52" t="s">
        <v>593</v>
      </c>
      <c r="H26" s="34"/>
      <c r="I26" s="36" t="s">
        <v>434</v>
      </c>
      <c r="J26" s="36" t="str">
        <f t="shared" si="2"/>
        <v>TABS.0450</v>
      </c>
      <c r="K26" s="36" t="str">
        <f t="shared" si="3"/>
        <v>DETAIL</v>
      </c>
      <c r="L26" s="36" t="str">
        <f t="shared" si="11"/>
        <v>0450::::IJARAH - SUSPENDED PROFIT</v>
      </c>
      <c r="M26" s="4"/>
      <c r="N26" s="4">
        <v>6</v>
      </c>
      <c r="O26" s="4"/>
      <c r="P26" s="4"/>
      <c r="Q26" s="4"/>
      <c r="R26" s="4"/>
      <c r="S26" s="4"/>
      <c r="T26" s="36" t="s">
        <v>732</v>
      </c>
      <c r="U26" s="36"/>
      <c r="V26" s="54" t="s">
        <v>711</v>
      </c>
      <c r="W26" s="36"/>
      <c r="X26" s="4"/>
      <c r="Y26" s="4"/>
      <c r="Z26" s="36" t="s">
        <v>731</v>
      </c>
      <c r="AA26" s="4"/>
      <c r="AB26" s="84"/>
      <c r="AC26" s="84"/>
      <c r="AD26" s="84"/>
      <c r="AE26" s="84"/>
      <c r="AF26" s="84"/>
      <c r="AG26" s="8"/>
      <c r="AM26" s="1" t="str">
        <f t="shared" si="1"/>
        <v>TABS.0450|DETAIL|0450::::IJARAH - SUSPENDED PROFIT||6||||||AC::AC::AC::AC::AC::AC::AC::AC::AC||3116::3116::3116::3116::3116::3116::3116::3116::3116||||SPDUEDEFERREDPFT::SPS01DEFERREDPFT::SPS2ADEFERREDPFT::SPS2BDEFERREDPFT::SPS3ADEFERREDPFT::SPS3BDEFERREDPFT::SPS4ADEFERREDPFT::SPS4BDEFERREDPFT::SPACCDEFERREDPFT|||||||</v>
      </c>
      <c r="CD26" s="1"/>
      <c r="CE26" s="1"/>
      <c r="CH26" s="24"/>
      <c r="CI26" s="22"/>
    </row>
    <row r="27" spans="1:87" x14ac:dyDescent="0.2">
      <c r="A27" s="31" t="s">
        <v>552</v>
      </c>
      <c r="B27" s="4" t="s">
        <v>86</v>
      </c>
      <c r="C27" s="6"/>
      <c r="D27" s="23"/>
      <c r="E27" s="36" t="s">
        <v>598</v>
      </c>
      <c r="F27" s="4" t="s">
        <v>11</v>
      </c>
      <c r="G27" s="52" t="s">
        <v>594</v>
      </c>
      <c r="H27" s="34"/>
      <c r="I27" s="36" t="s">
        <v>393</v>
      </c>
      <c r="J27" s="36" t="str">
        <f t="shared" si="2"/>
        <v>TABS.0460</v>
      </c>
      <c r="K27" s="36" t="str">
        <f t="shared" si="3"/>
        <v>DETAIL</v>
      </c>
      <c r="L27" s="36" t="str">
        <f t="shared" si="11"/>
        <v>0460::::IJARAH - UNEARNED INC</v>
      </c>
      <c r="M27" s="4"/>
      <c r="N27" s="4">
        <v>6</v>
      </c>
      <c r="O27" s="4"/>
      <c r="P27" s="4"/>
      <c r="Q27" s="4"/>
      <c r="R27" s="4"/>
      <c r="S27" s="4"/>
      <c r="T27" s="36" t="s">
        <v>59</v>
      </c>
      <c r="U27" s="36"/>
      <c r="V27" s="54">
        <v>3116</v>
      </c>
      <c r="W27" s="36"/>
      <c r="X27" s="4"/>
      <c r="Y27" s="4"/>
      <c r="Z27" s="36" t="s">
        <v>431</v>
      </c>
      <c r="AA27" s="4"/>
      <c r="AB27" s="84"/>
      <c r="AC27" s="84"/>
      <c r="AD27" s="84"/>
      <c r="AE27" s="84"/>
      <c r="AF27" s="84"/>
      <c r="AG27" s="8"/>
      <c r="AM27" s="1" t="str">
        <f t="shared" si="1"/>
        <v>TABS.0460|DETAIL|0460::::IJARAH - UNEARNED INC||6||||||AC||3116||||ACCDEFERREDPFT|||||||</v>
      </c>
      <c r="CD27" s="1"/>
      <c r="CE27" s="1"/>
      <c r="CH27" s="24"/>
      <c r="CI27" s="22"/>
    </row>
    <row r="28" spans="1:87" x14ac:dyDescent="0.2">
      <c r="A28" s="31" t="s">
        <v>552</v>
      </c>
      <c r="B28" s="4" t="s">
        <v>86</v>
      </c>
      <c r="C28" s="6"/>
      <c r="D28" s="23"/>
      <c r="E28" s="36" t="str">
        <f t="shared" ref="E28" si="12">_xlfn.CONCAT($B$1,G28)</f>
        <v>TABS.0465</v>
      </c>
      <c r="F28" s="4" t="s">
        <v>11</v>
      </c>
      <c r="G28" s="52" t="s">
        <v>738</v>
      </c>
      <c r="H28" s="34"/>
      <c r="I28" s="36" t="s">
        <v>739</v>
      </c>
      <c r="J28" s="36" t="str">
        <f t="shared" ref="J28" si="13">+E28</f>
        <v>TABS.0465</v>
      </c>
      <c r="K28" s="36" t="str">
        <f t="shared" ref="K28" si="14">+F28</f>
        <v>DETAIL</v>
      </c>
      <c r="L28" s="36" t="str">
        <f t="shared" ref="L28" si="15">+_xlfn.TEXTJOIN("::",FALSE,G28:I28)</f>
        <v>0465::::IJARAH - PROVISION FOR ECL</v>
      </c>
      <c r="M28" s="4"/>
      <c r="N28" s="4">
        <v>6</v>
      </c>
      <c r="O28" s="4"/>
      <c r="P28" s="4"/>
      <c r="Q28" s="4"/>
      <c r="R28" s="4"/>
      <c r="S28" s="4"/>
      <c r="T28" s="36" t="s">
        <v>59</v>
      </c>
      <c r="U28" s="36"/>
      <c r="V28" s="54">
        <v>3116</v>
      </c>
      <c r="W28" s="36"/>
      <c r="X28" s="4"/>
      <c r="Y28" s="4"/>
      <c r="Z28" s="36">
        <v>51051</v>
      </c>
      <c r="AA28" s="4"/>
      <c r="AB28" s="84"/>
      <c r="AC28" s="84"/>
      <c r="AD28" s="84"/>
      <c r="AE28" s="84"/>
      <c r="AF28" s="84"/>
      <c r="AG28" s="8"/>
      <c r="AM28" s="1" t="str">
        <f t="shared" ref="AM28" si="16">+_xlfn.TEXTJOIN("|",FALSE,J28:AG28)</f>
        <v>TABS.0465|DETAIL|0465::::IJARAH - PROVISION FOR ECL||6||||||AC||3116||||51051|||||||</v>
      </c>
      <c r="CD28" s="1"/>
      <c r="CE28" s="1"/>
      <c r="CH28" s="24"/>
      <c r="CI28" s="22"/>
    </row>
    <row r="29" spans="1:87" s="65" customFormat="1" x14ac:dyDescent="0.2">
      <c r="A29" s="66"/>
      <c r="B29" s="5" t="s">
        <v>86</v>
      </c>
      <c r="C29" s="16"/>
      <c r="D29" s="19"/>
      <c r="E29" s="5" t="s">
        <v>175</v>
      </c>
      <c r="F29" s="5" t="s">
        <v>12</v>
      </c>
      <c r="G29" s="67" t="s">
        <v>22</v>
      </c>
      <c r="H29" s="68"/>
      <c r="I29" s="5" t="s">
        <v>478</v>
      </c>
      <c r="J29" s="5" t="str">
        <f t="shared" si="2"/>
        <v>TABS.0500</v>
      </c>
      <c r="K29" s="5" t="str">
        <f t="shared" si="3"/>
        <v>TOTAL</v>
      </c>
      <c r="L29" s="5" t="str">
        <f t="shared" si="11"/>
        <v>**::::TOT - IJARAH FINANICNG</v>
      </c>
      <c r="M29" s="5">
        <v>6</v>
      </c>
      <c r="N29" s="5">
        <v>5</v>
      </c>
      <c r="O29" s="5"/>
      <c r="P29" s="5">
        <v>1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83"/>
      <c r="AC29" s="83"/>
      <c r="AD29" s="83"/>
      <c r="AE29" s="83"/>
      <c r="AF29" s="83"/>
      <c r="AG29" s="9"/>
      <c r="AM29" s="1" t="str">
        <f t="shared" si="1"/>
        <v>TABS.0500|TOTAL|**::::TOT - IJARAH FINANICNG|6|5||1|||||||||||||||||</v>
      </c>
      <c r="BZ29" s="75"/>
      <c r="CA29" s="75"/>
      <c r="CH29" s="76"/>
      <c r="CI29" s="75"/>
    </row>
    <row r="30" spans="1:87" s="46" customFormat="1" x14ac:dyDescent="0.2">
      <c r="A30" s="43" t="s">
        <v>132</v>
      </c>
      <c r="B30" s="2" t="s">
        <v>86</v>
      </c>
      <c r="C30" s="3"/>
      <c r="D30" s="44"/>
      <c r="E30" s="2" t="s">
        <v>176</v>
      </c>
      <c r="F30" s="2" t="s">
        <v>10</v>
      </c>
      <c r="G30" s="50" t="s">
        <v>22</v>
      </c>
      <c r="H30" s="42"/>
      <c r="I30" s="61" t="s">
        <v>116</v>
      </c>
      <c r="J30" s="87" t="str">
        <f t="shared" si="2"/>
        <v>TABS.0700</v>
      </c>
      <c r="K30" s="87" t="str">
        <f t="shared" si="3"/>
        <v>HEADING</v>
      </c>
      <c r="L30" s="2" t="str">
        <f t="shared" si="11"/>
        <v>**::::MURABAHA FINANCING</v>
      </c>
      <c r="M30" s="2"/>
      <c r="N30" s="2"/>
      <c r="O30" s="2"/>
      <c r="P30" s="2">
        <v>1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81"/>
      <c r="AC30" s="81"/>
      <c r="AD30" s="81"/>
      <c r="AE30" s="81"/>
      <c r="AF30" s="81"/>
      <c r="AG30" s="7"/>
      <c r="AM30" s="1" t="str">
        <f t="shared" si="1"/>
        <v>TABS.0700|HEADING|**::::MURABAHA FINANCING||||1|||||||||||||||||</v>
      </c>
      <c r="BZ30" s="79"/>
      <c r="CA30" s="79"/>
      <c r="CH30" s="80"/>
      <c r="CI30" s="79"/>
    </row>
    <row r="31" spans="1:87" x14ac:dyDescent="0.2">
      <c r="A31" s="31" t="s">
        <v>133</v>
      </c>
      <c r="B31" s="4" t="s">
        <v>86</v>
      </c>
      <c r="C31" s="6"/>
      <c r="D31" s="23"/>
      <c r="E31" s="36" t="s">
        <v>177</v>
      </c>
      <c r="F31" s="4" t="s">
        <v>11</v>
      </c>
      <c r="G31" s="53" t="str">
        <f>RIGHT(E31,4)</f>
        <v>0720</v>
      </c>
      <c r="H31" s="34"/>
      <c r="I31" s="36" t="s">
        <v>388</v>
      </c>
      <c r="J31" s="36" t="str">
        <f t="shared" si="2"/>
        <v>TABS.0720</v>
      </c>
      <c r="K31" s="36" t="str">
        <f t="shared" si="3"/>
        <v>DETAIL</v>
      </c>
      <c r="L31" s="36" t="str">
        <f t="shared" si="11"/>
        <v>0720::::MURABAHA - PRINCIPAL</v>
      </c>
      <c r="M31" s="4"/>
      <c r="N31" s="4">
        <v>6</v>
      </c>
      <c r="O31" s="4"/>
      <c r="P31" s="4"/>
      <c r="Q31" s="4"/>
      <c r="R31" s="4"/>
      <c r="S31" s="4"/>
      <c r="T31" s="36" t="s">
        <v>422</v>
      </c>
      <c r="U31" s="36"/>
      <c r="V31" s="54" t="s">
        <v>439</v>
      </c>
      <c r="W31" s="36"/>
      <c r="X31" s="4"/>
      <c r="Y31" s="4"/>
      <c r="Z31" s="36" t="s">
        <v>424</v>
      </c>
      <c r="AA31" s="4"/>
      <c r="AB31" s="84"/>
      <c r="AC31" s="84"/>
      <c r="AD31" s="84"/>
      <c r="AE31" s="84"/>
      <c r="AF31" s="84"/>
      <c r="AG31" s="8"/>
      <c r="AM31" s="1" t="str">
        <f t="shared" si="1"/>
        <v>TABS.0720|DETAIL|0720::::MURABAHA - PRINCIPAL||6||||||AC::AC||3115::3115||||CURACCOUNT::DUEACCOUNT|||||||</v>
      </c>
      <c r="CD31" s="1"/>
      <c r="CE31" s="1"/>
      <c r="CH31" s="24"/>
      <c r="CI31" s="22"/>
    </row>
    <row r="32" spans="1:87" x14ac:dyDescent="0.2">
      <c r="A32" s="31" t="s">
        <v>134</v>
      </c>
      <c r="B32" s="4" t="s">
        <v>86</v>
      </c>
      <c r="C32" s="6"/>
      <c r="D32" s="23"/>
      <c r="E32" s="36" t="s">
        <v>599</v>
      </c>
      <c r="F32" s="4" t="s">
        <v>11</v>
      </c>
      <c r="G32" s="53" t="str">
        <f>RIGHT(E32,4)</f>
        <v>0730</v>
      </c>
      <c r="H32" s="34"/>
      <c r="I32" s="36" t="s">
        <v>389</v>
      </c>
      <c r="J32" s="36" t="str">
        <f t="shared" si="2"/>
        <v>TABS.0730</v>
      </c>
      <c r="K32" s="36" t="str">
        <f t="shared" si="3"/>
        <v>DETAIL</v>
      </c>
      <c r="L32" s="36" t="str">
        <f t="shared" si="11"/>
        <v>0730::::MURABAHA - OVERDUE PRINCIPAL</v>
      </c>
      <c r="M32" s="4"/>
      <c r="N32" s="4">
        <v>6</v>
      </c>
      <c r="O32" s="4"/>
      <c r="P32" s="4"/>
      <c r="Q32" s="4"/>
      <c r="R32" s="4"/>
      <c r="S32" s="4"/>
      <c r="T32" s="36" t="s">
        <v>425</v>
      </c>
      <c r="U32" s="36"/>
      <c r="V32" s="54" t="s">
        <v>440</v>
      </c>
      <c r="W32" s="36"/>
      <c r="X32" s="4"/>
      <c r="Y32" s="4"/>
      <c r="Z32" s="36" t="s">
        <v>427</v>
      </c>
      <c r="AA32" s="4"/>
      <c r="AB32" s="84"/>
      <c r="AC32" s="84"/>
      <c r="AD32" s="84"/>
      <c r="AE32" s="84"/>
      <c r="AF32" s="84"/>
      <c r="AG32" s="8"/>
      <c r="AM32" s="1" t="str">
        <f t="shared" si="1"/>
        <v>TABS.0730|DETAIL|0730::::MURABAHA - OVERDUE PRINCIPAL||6||||||AC::AC::AC::AC::AC::AC::AC||3115::3115::3115::3115::3115::3115::3115||||S01ACCOUNT::S2AACCOUNT::S2BACCOUNT::S3AACCOUNT::S3BACCOUNT::S4AACCOUNT::S4BACCOUNT|||||||</v>
      </c>
      <c r="CD32" s="1"/>
      <c r="CE32" s="1"/>
      <c r="CH32" s="24"/>
      <c r="CI32" s="22"/>
    </row>
    <row r="33" spans="1:87" x14ac:dyDescent="0.2">
      <c r="A33" s="31" t="s">
        <v>553</v>
      </c>
      <c r="B33" s="4" t="s">
        <v>86</v>
      </c>
      <c r="C33" s="6"/>
      <c r="D33" s="23"/>
      <c r="E33" s="36" t="s">
        <v>178</v>
      </c>
      <c r="F33" s="4" t="s">
        <v>11</v>
      </c>
      <c r="G33" s="53" t="str">
        <f t="shared" ref="G33:G36" si="17">RIGHT(E33,4)</f>
        <v>0740</v>
      </c>
      <c r="H33" s="34"/>
      <c r="I33" s="36" t="s">
        <v>390</v>
      </c>
      <c r="J33" s="36" t="str">
        <f t="shared" si="2"/>
        <v>TABS.0740</v>
      </c>
      <c r="K33" s="36" t="str">
        <f t="shared" si="3"/>
        <v>DETAIL</v>
      </c>
      <c r="L33" s="36" t="str">
        <f t="shared" si="11"/>
        <v>0740::::MURABAHA - PRFT RECEIVABLE</v>
      </c>
      <c r="M33" s="4"/>
      <c r="N33" s="4">
        <v>6</v>
      </c>
      <c r="O33" s="4"/>
      <c r="P33" s="4"/>
      <c r="Q33" s="4"/>
      <c r="R33" s="4"/>
      <c r="S33" s="4"/>
      <c r="T33" s="36" t="s">
        <v>422</v>
      </c>
      <c r="U33" s="36"/>
      <c r="V33" s="54" t="s">
        <v>439</v>
      </c>
      <c r="W33" s="36"/>
      <c r="X33" s="4"/>
      <c r="Y33" s="4"/>
      <c r="Z33" s="36" t="s">
        <v>428</v>
      </c>
      <c r="AA33" s="4"/>
      <c r="AB33" s="84"/>
      <c r="AC33" s="84"/>
      <c r="AD33" s="84"/>
      <c r="AE33" s="84"/>
      <c r="AF33" s="84"/>
      <c r="AG33" s="8"/>
      <c r="AM33" s="1" t="str">
        <f t="shared" si="1"/>
        <v>TABS.0740|DETAIL|0740::::MURABAHA - PRFT RECEIVABLE||6||||||AC::AC||3115::3115||||RECDEFERREDPFT::DUEDEFERREDPFT|||||||</v>
      </c>
      <c r="CD33" s="1"/>
      <c r="CE33" s="1"/>
      <c r="CH33" s="24"/>
      <c r="CI33" s="22"/>
    </row>
    <row r="34" spans="1:87" x14ac:dyDescent="0.2">
      <c r="A34" s="31" t="s">
        <v>554</v>
      </c>
      <c r="B34" s="4" t="s">
        <v>86</v>
      </c>
      <c r="C34" s="6"/>
      <c r="D34" s="23"/>
      <c r="E34" s="36" t="s">
        <v>600</v>
      </c>
      <c r="F34" s="4" t="s">
        <v>11</v>
      </c>
      <c r="G34" s="53" t="str">
        <f t="shared" si="17"/>
        <v>0750</v>
      </c>
      <c r="H34" s="34"/>
      <c r="I34" s="36" t="s">
        <v>391</v>
      </c>
      <c r="J34" s="36" t="str">
        <f t="shared" si="2"/>
        <v>TABS.0750</v>
      </c>
      <c r="K34" s="36" t="str">
        <f t="shared" si="3"/>
        <v>DETAIL</v>
      </c>
      <c r="L34" s="36" t="str">
        <f t="shared" si="11"/>
        <v>0750::::MURABAHA - OVERDUE PRFT RECEIVABLE</v>
      </c>
      <c r="M34" s="4"/>
      <c r="N34" s="4">
        <v>6</v>
      </c>
      <c r="O34" s="4"/>
      <c r="P34" s="4"/>
      <c r="Q34" s="4"/>
      <c r="R34" s="4"/>
      <c r="S34" s="4"/>
      <c r="T34" s="36" t="s">
        <v>425</v>
      </c>
      <c r="U34" s="36"/>
      <c r="V34" s="54" t="s">
        <v>440</v>
      </c>
      <c r="W34" s="36"/>
      <c r="X34" s="4"/>
      <c r="Y34" s="4"/>
      <c r="Z34" s="36" t="s">
        <v>433</v>
      </c>
      <c r="AA34" s="4"/>
      <c r="AB34" s="84"/>
      <c r="AC34" s="84"/>
      <c r="AD34" s="84"/>
      <c r="AE34" s="84"/>
      <c r="AF34" s="84"/>
      <c r="AG34" s="8"/>
      <c r="AM34" s="1" t="str">
        <f t="shared" si="1"/>
        <v>TABS.0750|DETAIL|0750::::MURABAHA - OVERDUE PRFT RECEIVABLE||6||||||AC::AC::AC::AC::AC::AC::AC||3115::3115::3115::3115::3115::3115::3115||||S01DEFERREDPFT::S2ADEFERREDPFT::S2BDEFERREDPFT::S3ADEFERREDPFT::S3BDEFERREDPFT::S4ADEFERREDPFT::S4BDEFERREDPFT|||||||</v>
      </c>
      <c r="CD34" s="1"/>
      <c r="CE34" s="1"/>
      <c r="CH34" s="24"/>
      <c r="CI34" s="22"/>
    </row>
    <row r="35" spans="1:87" x14ac:dyDescent="0.2">
      <c r="A35" s="31" t="s">
        <v>555</v>
      </c>
      <c r="B35" s="4" t="s">
        <v>86</v>
      </c>
      <c r="C35" s="6"/>
      <c r="D35" s="23"/>
      <c r="E35" s="36" t="s">
        <v>179</v>
      </c>
      <c r="F35" s="4" t="s">
        <v>11</v>
      </c>
      <c r="G35" s="53" t="str">
        <f t="shared" si="17"/>
        <v>0760</v>
      </c>
      <c r="H35" s="34"/>
      <c r="I35" s="36" t="s">
        <v>438</v>
      </c>
      <c r="J35" s="36" t="str">
        <f t="shared" si="2"/>
        <v>TABS.0760</v>
      </c>
      <c r="K35" s="36" t="str">
        <f t="shared" si="3"/>
        <v>DETAIL</v>
      </c>
      <c r="L35" s="36" t="str">
        <f t="shared" si="11"/>
        <v>0760::::MURABAHA - SUSPENDED PROFIT</v>
      </c>
      <c r="M35" s="4"/>
      <c r="N35" s="4">
        <v>6</v>
      </c>
      <c r="O35" s="4"/>
      <c r="P35" s="4"/>
      <c r="Q35" s="4"/>
      <c r="R35" s="4"/>
      <c r="S35" s="4"/>
      <c r="T35" s="36" t="s">
        <v>732</v>
      </c>
      <c r="U35" s="36"/>
      <c r="V35" s="54" t="s">
        <v>712</v>
      </c>
      <c r="W35" s="36"/>
      <c r="X35" s="4"/>
      <c r="Y35" s="4"/>
      <c r="Z35" s="36" t="s">
        <v>731</v>
      </c>
      <c r="AA35" s="4"/>
      <c r="AB35" s="84"/>
      <c r="AC35" s="84"/>
      <c r="AD35" s="84"/>
      <c r="AE35" s="84"/>
      <c r="AF35" s="84"/>
      <c r="AG35" s="8"/>
      <c r="AM35" s="1" t="str">
        <f t="shared" si="1"/>
        <v>TABS.0760|DETAIL|0760::::MURABAHA - SUSPENDED PROFIT||6||||||AC::AC::AC::AC::AC::AC::AC::AC::AC||3115::3115::3115::3115::3115::3115::3115::3115::3115||||SPDUEDEFERREDPFT::SPS01DEFERREDPFT::SPS2ADEFERREDPFT::SPS2BDEFERREDPFT::SPS3ADEFERREDPFT::SPS3BDEFERREDPFT::SPS4ADEFERREDPFT::SPS4BDEFERREDPFT::SPACCDEFERREDPFT|||||||</v>
      </c>
      <c r="CD35" s="1"/>
      <c r="CE35" s="1"/>
      <c r="CH35" s="24"/>
      <c r="CI35" s="22"/>
    </row>
    <row r="36" spans="1:87" x14ac:dyDescent="0.2">
      <c r="A36" s="31" t="s">
        <v>556</v>
      </c>
      <c r="B36" s="4" t="s">
        <v>86</v>
      </c>
      <c r="C36" s="6"/>
      <c r="D36" s="23"/>
      <c r="E36" s="36" t="s">
        <v>601</v>
      </c>
      <c r="F36" s="4" t="s">
        <v>11</v>
      </c>
      <c r="G36" s="53" t="str">
        <f t="shared" si="17"/>
        <v>0770</v>
      </c>
      <c r="H36" s="34"/>
      <c r="I36" s="36" t="s">
        <v>394</v>
      </c>
      <c r="J36" s="36" t="str">
        <f t="shared" si="2"/>
        <v>TABS.0770</v>
      </c>
      <c r="K36" s="36" t="str">
        <f t="shared" si="3"/>
        <v>DETAIL</v>
      </c>
      <c r="L36" s="36" t="str">
        <f t="shared" si="11"/>
        <v>0770::::MURABAHA - UNEARNED INC</v>
      </c>
      <c r="M36" s="4"/>
      <c r="N36" s="4">
        <v>6</v>
      </c>
      <c r="O36" s="4"/>
      <c r="P36" s="4"/>
      <c r="Q36" s="4"/>
      <c r="R36" s="4"/>
      <c r="S36" s="4"/>
      <c r="T36" s="36" t="s">
        <v>59</v>
      </c>
      <c r="U36" s="36"/>
      <c r="V36" s="54">
        <v>3115</v>
      </c>
      <c r="W36" s="36"/>
      <c r="X36" s="4"/>
      <c r="Y36" s="4"/>
      <c r="Z36" s="36" t="s">
        <v>431</v>
      </c>
      <c r="AA36" s="4"/>
      <c r="AB36" s="84"/>
      <c r="AC36" s="84"/>
      <c r="AD36" s="84"/>
      <c r="AE36" s="84"/>
      <c r="AF36" s="84"/>
      <c r="AG36" s="8"/>
      <c r="AM36" s="1" t="str">
        <f t="shared" si="1"/>
        <v>TABS.0770|DETAIL|0770::::MURABAHA - UNEARNED INC||6||||||AC||3115||||ACCDEFERREDPFT|||||||</v>
      </c>
      <c r="CD36" s="1"/>
      <c r="CE36" s="1"/>
      <c r="CH36" s="24"/>
      <c r="CI36" s="22"/>
    </row>
    <row r="37" spans="1:87" x14ac:dyDescent="0.2">
      <c r="A37" s="31" t="s">
        <v>556</v>
      </c>
      <c r="B37" s="4" t="s">
        <v>86</v>
      </c>
      <c r="C37" s="6"/>
      <c r="D37" s="23"/>
      <c r="E37" s="36" t="str">
        <f t="shared" ref="E37" si="18">_xlfn.CONCAT($B$1,G37)</f>
        <v>TABS.0775</v>
      </c>
      <c r="F37" s="4" t="s">
        <v>11</v>
      </c>
      <c r="G37" s="52" t="s">
        <v>740</v>
      </c>
      <c r="H37" s="34"/>
      <c r="I37" s="36" t="s">
        <v>741</v>
      </c>
      <c r="J37" s="36" t="str">
        <f t="shared" ref="J37" si="19">+E37</f>
        <v>TABS.0775</v>
      </c>
      <c r="K37" s="36" t="str">
        <f t="shared" ref="K37" si="20">+F37</f>
        <v>DETAIL</v>
      </c>
      <c r="L37" s="36" t="str">
        <f t="shared" ref="L37" si="21">+_xlfn.TEXTJOIN("::",FALSE,G37:I37)</f>
        <v>0775::::MURABAHA - PROVISION FOR ECL</v>
      </c>
      <c r="M37" s="4"/>
      <c r="N37" s="4">
        <v>6</v>
      </c>
      <c r="O37" s="4"/>
      <c r="P37" s="4"/>
      <c r="Q37" s="4"/>
      <c r="R37" s="4"/>
      <c r="S37" s="4"/>
      <c r="T37" s="36" t="s">
        <v>59</v>
      </c>
      <c r="U37" s="36"/>
      <c r="V37" s="54">
        <v>3115</v>
      </c>
      <c r="W37" s="36"/>
      <c r="X37" s="4"/>
      <c r="Y37" s="4"/>
      <c r="Z37" s="36">
        <v>51051</v>
      </c>
      <c r="AA37" s="4"/>
      <c r="AB37" s="84"/>
      <c r="AC37" s="84"/>
      <c r="AD37" s="84"/>
      <c r="AE37" s="84"/>
      <c r="AF37" s="84"/>
      <c r="AG37" s="8"/>
      <c r="AM37" s="1" t="str">
        <f t="shared" ref="AM37" si="22">+_xlfn.TEXTJOIN("|",FALSE,J37:AG37)</f>
        <v>TABS.0775|DETAIL|0775::::MURABAHA - PROVISION FOR ECL||6||||||AC||3115||||51051|||||||</v>
      </c>
      <c r="CD37" s="1"/>
      <c r="CE37" s="1"/>
      <c r="CH37" s="24"/>
      <c r="CI37" s="22"/>
    </row>
    <row r="38" spans="1:87" s="65" customFormat="1" x14ac:dyDescent="0.2">
      <c r="A38" s="66"/>
      <c r="B38" s="5" t="s">
        <v>86</v>
      </c>
      <c r="C38" s="16"/>
      <c r="D38" s="19"/>
      <c r="E38" s="5" t="s">
        <v>602</v>
      </c>
      <c r="F38" s="5" t="s">
        <v>12</v>
      </c>
      <c r="G38" s="67" t="s">
        <v>22</v>
      </c>
      <c r="H38" s="68"/>
      <c r="I38" s="5" t="s">
        <v>479</v>
      </c>
      <c r="J38" s="5" t="str">
        <f t="shared" si="2"/>
        <v>TABS.0790</v>
      </c>
      <c r="K38" s="5" t="str">
        <f t="shared" si="3"/>
        <v>TOTAL</v>
      </c>
      <c r="L38" s="5" t="str">
        <f t="shared" si="11"/>
        <v>**::::TOT - MURABAHA FINANCING</v>
      </c>
      <c r="M38" s="5">
        <v>6</v>
      </c>
      <c r="N38" s="5">
        <v>5</v>
      </c>
      <c r="O38" s="5"/>
      <c r="P38" s="5">
        <v>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83"/>
      <c r="AC38" s="83"/>
      <c r="AD38" s="83"/>
      <c r="AE38" s="83"/>
      <c r="AF38" s="83"/>
      <c r="AG38" s="9"/>
      <c r="AM38" s="1" t="str">
        <f t="shared" si="1"/>
        <v>TABS.0790|TOTAL|**::::TOT - MURABAHA FINANCING|6|5||1|||||||||||||||||</v>
      </c>
      <c r="BZ38" s="75"/>
      <c r="CA38" s="75"/>
      <c r="CH38" s="76"/>
      <c r="CI38" s="75"/>
    </row>
    <row r="39" spans="1:87" s="65" customFormat="1" x14ac:dyDescent="0.2">
      <c r="A39" s="66"/>
      <c r="B39" s="5" t="s">
        <v>86</v>
      </c>
      <c r="C39" s="16"/>
      <c r="D39" s="19">
        <v>1300</v>
      </c>
      <c r="E39" s="5" t="s">
        <v>180</v>
      </c>
      <c r="F39" s="5" t="s">
        <v>12</v>
      </c>
      <c r="G39" s="67" t="s">
        <v>30</v>
      </c>
      <c r="H39" s="68"/>
      <c r="I39" s="5" t="s">
        <v>48</v>
      </c>
      <c r="J39" s="5" t="str">
        <f t="shared" si="2"/>
        <v>TABS.0800</v>
      </c>
      <c r="K39" s="5" t="str">
        <f t="shared" si="3"/>
        <v>TOTAL</v>
      </c>
      <c r="L39" s="5" t="str">
        <f t="shared" si="11"/>
        <v>***::::TOT - RETAIL FINANCE</v>
      </c>
      <c r="M39" s="5">
        <v>5</v>
      </c>
      <c r="N39" s="5">
        <v>4</v>
      </c>
      <c r="O39" s="5"/>
      <c r="P39" s="5">
        <v>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83"/>
      <c r="AC39" s="83"/>
      <c r="AD39" s="83"/>
      <c r="AE39" s="83"/>
      <c r="AF39" s="83"/>
      <c r="AG39" s="9"/>
      <c r="AH39" s="65" t="str">
        <f>+_xlfn.XLOOKUP(E39,'[2]Personal Finance - TB (2)'!$J:$J,'[2]Personal Finance - TB (2)'!$G:$G,"",0)</f>
        <v/>
      </c>
      <c r="AM39" s="1" t="str">
        <f t="shared" si="1"/>
        <v>TABS.0800|TOTAL|***::::TOT - RETAIL FINANCE|5|4||1|||||||||||||||||</v>
      </c>
      <c r="BZ39" s="75"/>
      <c r="CA39" s="75"/>
      <c r="CH39" s="75"/>
      <c r="CI39" s="75"/>
    </row>
    <row r="40" spans="1:87" s="46" customFormat="1" x14ac:dyDescent="0.2">
      <c r="A40" s="43" t="s">
        <v>108</v>
      </c>
      <c r="B40" s="2" t="s">
        <v>86</v>
      </c>
      <c r="C40" s="3"/>
      <c r="D40" s="3">
        <v>2450</v>
      </c>
      <c r="E40" s="2" t="s">
        <v>181</v>
      </c>
      <c r="F40" s="2" t="s">
        <v>10</v>
      </c>
      <c r="G40" s="50" t="s">
        <v>22</v>
      </c>
      <c r="H40" s="2"/>
      <c r="I40" s="57" t="s">
        <v>392</v>
      </c>
      <c r="J40" s="89" t="str">
        <f t="shared" si="2"/>
        <v>TABS.1000</v>
      </c>
      <c r="K40" s="89" t="str">
        <f t="shared" si="3"/>
        <v>HEADING</v>
      </c>
      <c r="L40" s="2" t="str">
        <f>+_xlfn.TEXTJOIN("::",FALSE,G40:I40)</f>
        <v>**::::RELATED ASSETS</v>
      </c>
      <c r="M40" s="3"/>
      <c r="N40" s="2"/>
      <c r="O40" s="2"/>
      <c r="P40" s="2">
        <v>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81"/>
      <c r="AC40" s="81"/>
      <c r="AD40" s="81"/>
      <c r="AE40" s="81"/>
      <c r="AF40" s="81"/>
      <c r="AG40" s="7"/>
      <c r="AH40" s="46" t="str">
        <f>+_xlfn.XLOOKUP(E40,'[2]Personal Finance - TB (2)'!$J:$J,'[2]Personal Finance - TB (2)'!$G:$G,"",0)</f>
        <v/>
      </c>
      <c r="AM40" s="1" t="str">
        <f t="shared" si="1"/>
        <v>TABS.1000|HEADING|**::::RELATED ASSETS||||1|||||||||||||||||</v>
      </c>
      <c r="BZ40" s="79"/>
      <c r="CA40" s="79"/>
      <c r="CH40" s="79"/>
      <c r="CI40" s="79"/>
    </row>
    <row r="41" spans="1:87" x14ac:dyDescent="0.2">
      <c r="A41" s="31" t="s">
        <v>109</v>
      </c>
      <c r="B41" s="4" t="s">
        <v>86</v>
      </c>
      <c r="C41" s="6"/>
      <c r="D41" s="6">
        <v>2451</v>
      </c>
      <c r="E41" s="36" t="s">
        <v>182</v>
      </c>
      <c r="F41" s="4" t="s">
        <v>11</v>
      </c>
      <c r="G41" s="53" t="str">
        <f>+RIGHT(E41,4)</f>
        <v>1020</v>
      </c>
      <c r="H41" s="4"/>
      <c r="I41" s="4" t="s">
        <v>52</v>
      </c>
      <c r="J41" s="4" t="str">
        <f t="shared" si="2"/>
        <v>TABS.1020</v>
      </c>
      <c r="K41" s="4" t="str">
        <f t="shared" si="3"/>
        <v>DETAIL</v>
      </c>
      <c r="L41" s="4" t="str">
        <f t="shared" si="11"/>
        <v>1020::::GOODS IN TRANSIT</v>
      </c>
      <c r="M41" s="4"/>
      <c r="N41" s="4">
        <v>5</v>
      </c>
      <c r="O41" s="4"/>
      <c r="P41" s="4"/>
      <c r="Q41" s="4"/>
      <c r="R41" s="4"/>
      <c r="S41" s="4"/>
      <c r="T41" s="36" t="s">
        <v>59</v>
      </c>
      <c r="U41" s="36"/>
      <c r="V41" s="54">
        <v>16601</v>
      </c>
      <c r="W41" s="4"/>
      <c r="X41" s="4"/>
      <c r="Y41" s="4"/>
      <c r="Z41" s="4" t="s">
        <v>700</v>
      </c>
      <c r="AA41" s="4"/>
      <c r="AB41" s="84"/>
      <c r="AC41" s="84"/>
      <c r="AD41" s="84"/>
      <c r="AE41" s="84"/>
      <c r="AF41" s="84"/>
      <c r="AG41" s="8"/>
      <c r="AH41" s="1" t="str">
        <f>+_xlfn.XLOOKUP(E41,'[2]Personal Finance - TB (2)'!$J:$J,'[2]Personal Finance - TB (2)'!$G:$G,"",0)</f>
        <v/>
      </c>
      <c r="AK41" s="1" t="b">
        <f>+IF(AH41=H41,TRUE,FALSE)</f>
        <v>1</v>
      </c>
      <c r="AM41" s="1" t="str">
        <f t="shared" si="1"/>
        <v>TABS.1020|DETAIL|1020::::GOODS IN TRANSIT||5||||||AC||16601||||DEBIT|||||||</v>
      </c>
      <c r="CD41" s="1"/>
      <c r="CE41" s="1"/>
      <c r="CH41" s="22"/>
      <c r="CI41" s="22"/>
    </row>
    <row r="42" spans="1:87" x14ac:dyDescent="0.2">
      <c r="A42" s="31" t="s">
        <v>121</v>
      </c>
      <c r="B42" s="4" t="s">
        <v>86</v>
      </c>
      <c r="C42" s="6"/>
      <c r="D42" s="6">
        <v>2452</v>
      </c>
      <c r="E42" s="36" t="s">
        <v>183</v>
      </c>
      <c r="F42" s="4" t="s">
        <v>11</v>
      </c>
      <c r="G42" s="53" t="str">
        <f>+RIGHT(E42,4)</f>
        <v>1030</v>
      </c>
      <c r="H42" s="4"/>
      <c r="I42" s="4" t="s">
        <v>51</v>
      </c>
      <c r="J42" s="4" t="str">
        <f t="shared" si="2"/>
        <v>TABS.1030</v>
      </c>
      <c r="K42" s="4" t="str">
        <f t="shared" si="3"/>
        <v>DETAIL</v>
      </c>
      <c r="L42" s="4" t="str">
        <f t="shared" si="11"/>
        <v>1030::::PURCHASES</v>
      </c>
      <c r="M42" s="4"/>
      <c r="N42" s="4">
        <v>5</v>
      </c>
      <c r="O42" s="4"/>
      <c r="P42" s="4"/>
      <c r="Q42" s="4"/>
      <c r="R42" s="4"/>
      <c r="S42" s="4"/>
      <c r="T42" s="36" t="s">
        <v>59</v>
      </c>
      <c r="U42" s="36"/>
      <c r="V42" s="54">
        <v>16603</v>
      </c>
      <c r="W42" s="4"/>
      <c r="X42" s="4"/>
      <c r="Y42" s="4"/>
      <c r="Z42" s="4" t="s">
        <v>700</v>
      </c>
      <c r="AA42" s="4"/>
      <c r="AB42" s="84"/>
      <c r="AC42" s="84"/>
      <c r="AD42" s="84"/>
      <c r="AE42" s="84"/>
      <c r="AF42" s="84"/>
      <c r="AG42" s="8"/>
      <c r="AH42" s="1" t="str">
        <f>+_xlfn.XLOOKUP(E42,'[2]Personal Finance - TB (2)'!$J:$J,'[2]Personal Finance - TB (2)'!$G:$G,"",0)</f>
        <v/>
      </c>
      <c r="AK42" s="1" t="b">
        <f>+IF(AH42=H42,TRUE,FALSE)</f>
        <v>1</v>
      </c>
      <c r="AM42" s="1" t="str">
        <f t="shared" si="1"/>
        <v>TABS.1030|DETAIL|1030::::PURCHASES||5||||||AC||16603||||DEBIT|||||||</v>
      </c>
      <c r="CD42" s="1"/>
      <c r="CE42" s="1"/>
      <c r="CH42" s="22"/>
      <c r="CI42" s="22"/>
    </row>
    <row r="43" spans="1:87" x14ac:dyDescent="0.2">
      <c r="A43" s="31" t="s">
        <v>122</v>
      </c>
      <c r="B43" s="4" t="s">
        <v>86</v>
      </c>
      <c r="C43" s="6"/>
      <c r="D43" s="6"/>
      <c r="E43" s="36" t="s">
        <v>184</v>
      </c>
      <c r="F43" s="4" t="s">
        <v>11</v>
      </c>
      <c r="G43" s="53" t="str">
        <f t="shared" ref="G43" si="23">+RIGHT(E43,4)</f>
        <v>1040</v>
      </c>
      <c r="H43" s="4"/>
      <c r="I43" s="4" t="s">
        <v>117</v>
      </c>
      <c r="J43" s="4" t="str">
        <f t="shared" si="2"/>
        <v>TABS.1040</v>
      </c>
      <c r="K43" s="4" t="str">
        <f t="shared" si="3"/>
        <v>DETAIL</v>
      </c>
      <c r="L43" s="4" t="str">
        <f t="shared" si="11"/>
        <v>1040::::INVENTORY TAWARRUQ</v>
      </c>
      <c r="M43" s="4"/>
      <c r="N43" s="4">
        <v>5</v>
      </c>
      <c r="O43" s="4"/>
      <c r="P43" s="4"/>
      <c r="Q43" s="4"/>
      <c r="R43" s="4"/>
      <c r="S43" s="4"/>
      <c r="T43" s="36" t="s">
        <v>59</v>
      </c>
      <c r="U43" s="36"/>
      <c r="V43" s="54">
        <v>16621</v>
      </c>
      <c r="W43" s="4"/>
      <c r="X43" s="4"/>
      <c r="Y43" s="4"/>
      <c r="Z43" s="4" t="s">
        <v>700</v>
      </c>
      <c r="AA43" s="4"/>
      <c r="AB43" s="84"/>
      <c r="AC43" s="84"/>
      <c r="AD43" s="84"/>
      <c r="AE43" s="84"/>
      <c r="AF43" s="84"/>
      <c r="AG43" s="8"/>
      <c r="AM43" s="1" t="str">
        <f t="shared" si="1"/>
        <v>TABS.1040|DETAIL|1040::::INVENTORY TAWARRUQ||5||||||AC||16621||||DEBIT|||||||</v>
      </c>
      <c r="CD43" s="1"/>
      <c r="CE43" s="1"/>
      <c r="CH43" s="22"/>
      <c r="CI43" s="22"/>
    </row>
    <row r="44" spans="1:87" s="65" customFormat="1" x14ac:dyDescent="0.2">
      <c r="A44" s="66"/>
      <c r="B44" s="5" t="s">
        <v>86</v>
      </c>
      <c r="C44" s="16"/>
      <c r="D44" s="19">
        <v>2453</v>
      </c>
      <c r="E44" s="5" t="s">
        <v>185</v>
      </c>
      <c r="F44" s="5" t="s">
        <v>12</v>
      </c>
      <c r="G44" s="67" t="s">
        <v>30</v>
      </c>
      <c r="H44" s="5"/>
      <c r="I44" s="5" t="s">
        <v>396</v>
      </c>
      <c r="J44" s="5" t="str">
        <f t="shared" si="2"/>
        <v>TABS.1090</v>
      </c>
      <c r="K44" s="5" t="str">
        <f t="shared" si="3"/>
        <v>TOTAL</v>
      </c>
      <c r="L44" s="5" t="str">
        <f t="shared" si="11"/>
        <v>***::::TOT - RELATED ASSETS</v>
      </c>
      <c r="M44" s="5">
        <v>5</v>
      </c>
      <c r="N44" s="5">
        <v>4</v>
      </c>
      <c r="O44" s="5"/>
      <c r="P44" s="5">
        <v>1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83"/>
      <c r="AC44" s="83"/>
      <c r="AD44" s="83"/>
      <c r="AE44" s="83"/>
      <c r="AF44" s="83"/>
      <c r="AG44" s="9"/>
      <c r="AH44" s="65" t="str">
        <f>+_xlfn.XLOOKUP(E44,'[2]Personal Finance - TB (2)'!$J:$J,'[2]Personal Finance - TB (2)'!$G:$G,"",0)</f>
        <v/>
      </c>
      <c r="AM44" s="1" t="str">
        <f t="shared" si="1"/>
        <v>TABS.1090|TOTAL|***::::TOT - RELATED ASSETS|5|4||1|||||||||||||||||</v>
      </c>
      <c r="BZ44" s="75"/>
      <c r="CA44" s="75"/>
      <c r="CH44" s="75"/>
      <c r="CI44" s="75"/>
    </row>
    <row r="45" spans="1:87" s="65" customFormat="1" x14ac:dyDescent="0.2">
      <c r="A45" s="66"/>
      <c r="B45" s="5" t="s">
        <v>86</v>
      </c>
      <c r="C45" s="16"/>
      <c r="D45" s="19">
        <v>2500</v>
      </c>
      <c r="E45" s="5" t="s">
        <v>186</v>
      </c>
      <c r="F45" s="5" t="s">
        <v>12</v>
      </c>
      <c r="G45" s="67" t="s">
        <v>103</v>
      </c>
      <c r="H45" s="5"/>
      <c r="I45" s="5" t="s">
        <v>50</v>
      </c>
      <c r="J45" s="5" t="str">
        <f t="shared" si="2"/>
        <v>TABS.1200</v>
      </c>
      <c r="K45" s="5" t="str">
        <f t="shared" si="3"/>
        <v>TOTAL</v>
      </c>
      <c r="L45" s="5" t="str">
        <f t="shared" si="11"/>
        <v>****::::TOT - ISL FIN. &amp; RELATED ASTS</v>
      </c>
      <c r="M45" s="5">
        <v>4</v>
      </c>
      <c r="N45" s="5">
        <v>3</v>
      </c>
      <c r="O45" s="5"/>
      <c r="P45" s="5">
        <v>1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83"/>
      <c r="AC45" s="83"/>
      <c r="AD45" s="83"/>
      <c r="AE45" s="83"/>
      <c r="AF45" s="83"/>
      <c r="AG45" s="9"/>
      <c r="AH45" s="65" t="str">
        <f>+_xlfn.XLOOKUP(E45,'[2]Personal Finance - TB (2)'!$J:$J,'[2]Personal Finance - TB (2)'!$G:$G,"",0)</f>
        <v/>
      </c>
      <c r="AM45" s="1" t="str">
        <f t="shared" si="1"/>
        <v>TABS.1200|TOTAL|****::::TOT - ISL FIN. &amp; RELATED ASTS|4|3||1|||||||||||||||||</v>
      </c>
      <c r="BZ45" s="75"/>
      <c r="CA45" s="75"/>
      <c r="CH45" s="76"/>
      <c r="CI45" s="75"/>
    </row>
    <row r="46" spans="1:87" s="46" customFormat="1" x14ac:dyDescent="0.2">
      <c r="A46" s="43">
        <v>1.3</v>
      </c>
      <c r="B46" s="2" t="s">
        <v>86</v>
      </c>
      <c r="C46" s="3"/>
      <c r="D46" s="3">
        <v>3000</v>
      </c>
      <c r="E46" s="2" t="s">
        <v>187</v>
      </c>
      <c r="F46" s="2" t="s">
        <v>10</v>
      </c>
      <c r="G46" s="50" t="s">
        <v>22</v>
      </c>
      <c r="H46" s="2"/>
      <c r="I46" s="61" t="s">
        <v>465</v>
      </c>
      <c r="J46" s="87" t="str">
        <f t="shared" si="2"/>
        <v>TABS.1300</v>
      </c>
      <c r="K46" s="87" t="str">
        <f t="shared" si="3"/>
        <v>HEADING</v>
      </c>
      <c r="L46" s="2" t="str">
        <f t="shared" si="11"/>
        <v>**::::RECEIVABLES &amp; OTHER ASSETS</v>
      </c>
      <c r="M46" s="3"/>
      <c r="N46" s="2"/>
      <c r="O46" s="2"/>
      <c r="P46" s="2">
        <v>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81"/>
      <c r="AC46" s="81"/>
      <c r="AD46" s="81"/>
      <c r="AE46" s="81"/>
      <c r="AF46" s="81"/>
      <c r="AG46" s="7"/>
      <c r="AH46" s="46" t="str">
        <f>+_xlfn.XLOOKUP(E46,'[2]Personal Finance - TB (2)'!$J:$J,'[2]Personal Finance - TB (2)'!$G:$G,"",0)</f>
        <v/>
      </c>
      <c r="AM46" s="1" t="str">
        <f t="shared" si="1"/>
        <v>TABS.1300|HEADING|**::::RECEIVABLES &amp; OTHER ASSETS||||1|||||||||||||||||</v>
      </c>
      <c r="BZ46" s="79"/>
      <c r="CA46" s="79"/>
      <c r="CH46" s="79"/>
      <c r="CI46" s="79"/>
    </row>
    <row r="47" spans="1:87" s="46" customFormat="1" x14ac:dyDescent="0.2">
      <c r="A47" s="43" t="s">
        <v>557</v>
      </c>
      <c r="B47" s="2" t="s">
        <v>86</v>
      </c>
      <c r="C47" s="3"/>
      <c r="D47" s="3">
        <v>3000</v>
      </c>
      <c r="E47" s="2" t="s">
        <v>188</v>
      </c>
      <c r="F47" s="2" t="s">
        <v>10</v>
      </c>
      <c r="G47" s="50" t="s">
        <v>22</v>
      </c>
      <c r="H47" s="2"/>
      <c r="I47" s="61" t="s">
        <v>446</v>
      </c>
      <c r="J47" s="87" t="str">
        <f t="shared" si="2"/>
        <v>TABS.1350</v>
      </c>
      <c r="K47" s="87" t="str">
        <f t="shared" si="3"/>
        <v>HEADING</v>
      </c>
      <c r="L47" s="2" t="str">
        <f t="shared" ref="L47" si="24">+_xlfn.TEXTJOIN("::",FALSE,G47:I47)</f>
        <v>**::::ADMIN FEE  RECEIVABLE</v>
      </c>
      <c r="M47" s="3"/>
      <c r="N47" s="2"/>
      <c r="O47" s="2"/>
      <c r="P47" s="2">
        <v>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81"/>
      <c r="AC47" s="81"/>
      <c r="AD47" s="81"/>
      <c r="AE47" s="81"/>
      <c r="AF47" s="81"/>
      <c r="AG47" s="7"/>
      <c r="AH47" s="46" t="str">
        <f>+_xlfn.XLOOKUP(E47,'[2]Personal Finance - TB (2)'!$J:$J,'[2]Personal Finance - TB (2)'!$G:$G,"",0)</f>
        <v/>
      </c>
      <c r="AM47" s="1" t="str">
        <f t="shared" si="1"/>
        <v>TABS.1350|HEADING|**::::ADMIN FEE  RECEIVABLE||||1|||||||||||||||||</v>
      </c>
      <c r="BZ47" s="79"/>
      <c r="CA47" s="79"/>
      <c r="CH47" s="79"/>
      <c r="CI47" s="79"/>
    </row>
    <row r="48" spans="1:87" s="98" customFormat="1" x14ac:dyDescent="0.2">
      <c r="A48" s="91" t="s">
        <v>123</v>
      </c>
      <c r="B48" s="92" t="s">
        <v>86</v>
      </c>
      <c r="C48" s="93"/>
      <c r="D48" s="93">
        <v>3002</v>
      </c>
      <c r="E48" s="92" t="s">
        <v>603</v>
      </c>
      <c r="F48" s="92" t="s">
        <v>11</v>
      </c>
      <c r="G48" s="94" t="str">
        <f>+RIGHT(E48,4)</f>
        <v>1360</v>
      </c>
      <c r="H48" s="92"/>
      <c r="I48" s="95" t="s">
        <v>397</v>
      </c>
      <c r="J48" s="95" t="str">
        <f t="shared" si="2"/>
        <v>TABS.1360</v>
      </c>
      <c r="K48" s="95" t="str">
        <f t="shared" si="3"/>
        <v>DETAIL</v>
      </c>
      <c r="L48" s="92" t="str">
        <f t="shared" si="11"/>
        <v>1360::::ADMIN FEE - TAWARRUQ</v>
      </c>
      <c r="M48" s="92"/>
      <c r="N48" s="92">
        <v>5</v>
      </c>
      <c r="O48" s="92"/>
      <c r="P48" s="92"/>
      <c r="Q48" s="92"/>
      <c r="R48" s="92"/>
      <c r="S48" s="92"/>
      <c r="T48" s="92" t="s">
        <v>429</v>
      </c>
      <c r="U48" s="92"/>
      <c r="V48" s="94" t="s">
        <v>710</v>
      </c>
      <c r="W48" s="92"/>
      <c r="X48" s="92"/>
      <c r="Y48" s="92"/>
      <c r="Z48" s="92" t="s">
        <v>713</v>
      </c>
      <c r="AA48" s="92"/>
      <c r="AB48" s="96"/>
      <c r="AC48" s="96"/>
      <c r="AD48" s="96"/>
      <c r="AE48" s="96"/>
      <c r="AF48" s="96"/>
      <c r="AG48" s="97"/>
      <c r="AH48" s="98" t="str">
        <f>+_xlfn.XLOOKUP(E48,'[2]Personal Finance - TB (2)'!$J:$J,'[2]Personal Finance - TB (2)'!$G:$G,"",0)</f>
        <v/>
      </c>
      <c r="AM48" s="98" t="str">
        <f t="shared" si="1"/>
        <v>TABS.1360|DETAIL|1360::::ADMIN FEE - TAWARRUQ||5||||||AC::AC::AC::AC::AC::AC::AC::AC||3114::3114::3114::3114::3114::3114::3114::3114::3114||||DUEADMINFEESCH::S01ADMINFEESCH::S2AADMINFEESCH::S2BADMINFEESCH::S3AADMINFEESCH::S3BADMINFEESCH::S4AADMINFEESCH::S4BADMINFEESCH::DUEADMINFEEUP|||||||</v>
      </c>
      <c r="BZ48" s="99"/>
      <c r="CA48" s="99"/>
      <c r="CH48" s="99"/>
      <c r="CI48" s="99"/>
    </row>
    <row r="49" spans="1:87" x14ac:dyDescent="0.2">
      <c r="A49" s="31" t="s">
        <v>558</v>
      </c>
      <c r="B49" s="4" t="s">
        <v>86</v>
      </c>
      <c r="C49" s="6"/>
      <c r="D49" s="6">
        <v>3002</v>
      </c>
      <c r="E49" s="36" t="s">
        <v>604</v>
      </c>
      <c r="F49" s="4" t="s">
        <v>11</v>
      </c>
      <c r="G49" s="53" t="str">
        <f t="shared" ref="G49:G50" si="25">+RIGHT(E49,4)</f>
        <v>1370</v>
      </c>
      <c r="H49" s="4"/>
      <c r="I49" s="25" t="s">
        <v>398</v>
      </c>
      <c r="J49" s="25" t="str">
        <f t="shared" si="2"/>
        <v>TABS.1370</v>
      </c>
      <c r="K49" s="25" t="str">
        <f t="shared" si="3"/>
        <v>DETAIL</v>
      </c>
      <c r="L49" s="4" t="str">
        <f t="shared" ref="L49:L52" si="26">+_xlfn.TEXTJOIN("::",FALSE,G49:I49)</f>
        <v>1370::::ADMIN FEE - IJARAH</v>
      </c>
      <c r="M49" s="4"/>
      <c r="N49" s="4">
        <v>5</v>
      </c>
      <c r="O49" s="4"/>
      <c r="P49" s="4"/>
      <c r="Q49" s="4"/>
      <c r="R49" s="4"/>
      <c r="S49" s="4"/>
      <c r="T49" s="36" t="s">
        <v>429</v>
      </c>
      <c r="U49" s="36"/>
      <c r="V49" s="54" t="s">
        <v>711</v>
      </c>
      <c r="W49" s="4"/>
      <c r="X49" s="4"/>
      <c r="Y49" s="4"/>
      <c r="Z49" s="36" t="s">
        <v>713</v>
      </c>
      <c r="AA49" s="4"/>
      <c r="AB49" s="84"/>
      <c r="AC49" s="84"/>
      <c r="AD49" s="84"/>
      <c r="AE49" s="84"/>
      <c r="AF49" s="84"/>
      <c r="AG49" s="8"/>
      <c r="AH49" s="1" t="str">
        <f>+_xlfn.XLOOKUP(E49,'[2]Personal Finance - TB (2)'!$J:$J,'[2]Personal Finance - TB (2)'!$G:$G,"",0)</f>
        <v/>
      </c>
      <c r="AM49" s="1" t="str">
        <f t="shared" si="1"/>
        <v>TABS.1370|DETAIL|1370::::ADMIN FEE - IJARAH||5||||||AC::AC::AC::AC::AC::AC::AC::AC||3116::3116::3116::3116::3116::3116::3116::3116::3116||||DUEADMINFEESCH::S01ADMINFEESCH::S2AADMINFEESCH::S2BADMINFEESCH::S3AADMINFEESCH::S3BADMINFEESCH::S4AADMINFEESCH::S4BADMINFEESCH::DUEADMINFEEUP|||||||</v>
      </c>
      <c r="CD49" s="1"/>
      <c r="CE49" s="1"/>
      <c r="CH49" s="22"/>
      <c r="CI49" s="22"/>
    </row>
    <row r="50" spans="1:87" x14ac:dyDescent="0.2">
      <c r="A50" s="31" t="s">
        <v>124</v>
      </c>
      <c r="B50" s="4" t="s">
        <v>86</v>
      </c>
      <c r="C50" s="6"/>
      <c r="D50" s="6">
        <v>3002</v>
      </c>
      <c r="E50" s="36" t="s">
        <v>605</v>
      </c>
      <c r="F50" s="4" t="s">
        <v>11</v>
      </c>
      <c r="G50" s="53" t="str">
        <f t="shared" si="25"/>
        <v>1380</v>
      </c>
      <c r="H50" s="4"/>
      <c r="I50" s="25" t="s">
        <v>399</v>
      </c>
      <c r="J50" s="25" t="str">
        <f t="shared" si="2"/>
        <v>TABS.1380</v>
      </c>
      <c r="K50" s="25" t="str">
        <f t="shared" si="3"/>
        <v>DETAIL</v>
      </c>
      <c r="L50" s="4" t="str">
        <f t="shared" si="26"/>
        <v>1380::::ADMIN FEE - MURABAHA</v>
      </c>
      <c r="M50" s="4"/>
      <c r="N50" s="4">
        <v>5</v>
      </c>
      <c r="O50" s="4"/>
      <c r="P50" s="4"/>
      <c r="Q50" s="4"/>
      <c r="R50" s="4"/>
      <c r="S50" s="4"/>
      <c r="T50" s="36" t="s">
        <v>429</v>
      </c>
      <c r="U50" s="36"/>
      <c r="V50" s="54" t="s">
        <v>712</v>
      </c>
      <c r="W50" s="4"/>
      <c r="X50" s="4"/>
      <c r="Y50" s="4"/>
      <c r="Z50" s="36" t="s">
        <v>713</v>
      </c>
      <c r="AA50" s="4"/>
      <c r="AB50" s="84"/>
      <c r="AC50" s="84"/>
      <c r="AD50" s="84"/>
      <c r="AE50" s="84"/>
      <c r="AF50" s="84"/>
      <c r="AG50" s="8"/>
      <c r="AH50" s="1" t="str">
        <f>+_xlfn.XLOOKUP(E50,'[2]Personal Finance - TB (2)'!$J:$J,'[2]Personal Finance - TB (2)'!$G:$G,"",0)</f>
        <v/>
      </c>
      <c r="AM50" s="1" t="str">
        <f t="shared" si="1"/>
        <v>TABS.1380|DETAIL|1380::::ADMIN FEE - MURABAHA||5||||||AC::AC::AC::AC::AC::AC::AC::AC||3115::3115::3115::3115::3115::3115::3115::3115::3115||||DUEADMINFEESCH::S01ADMINFEESCH::S2AADMINFEESCH::S2BADMINFEESCH::S3AADMINFEESCH::S3BADMINFEESCH::S4AADMINFEESCH::S4BADMINFEESCH::DUEADMINFEEUP|||||||</v>
      </c>
      <c r="CD50" s="1"/>
      <c r="CE50" s="1"/>
      <c r="CH50" s="22"/>
      <c r="CI50" s="22"/>
    </row>
    <row r="51" spans="1:87" s="65" customFormat="1" x14ac:dyDescent="0.2">
      <c r="A51" s="66"/>
      <c r="B51" s="5" t="s">
        <v>86</v>
      </c>
      <c r="C51" s="16"/>
      <c r="D51" s="19">
        <v>3250</v>
      </c>
      <c r="E51" s="5" t="s">
        <v>606</v>
      </c>
      <c r="F51" s="5" t="s">
        <v>12</v>
      </c>
      <c r="G51" s="67" t="s">
        <v>30</v>
      </c>
      <c r="H51" s="5"/>
      <c r="I51" s="5" t="s">
        <v>447</v>
      </c>
      <c r="J51" s="5" t="str">
        <f t="shared" si="2"/>
        <v>TABS.1450</v>
      </c>
      <c r="K51" s="5" t="str">
        <f t="shared" si="3"/>
        <v>TOTAL</v>
      </c>
      <c r="L51" s="5" t="str">
        <f t="shared" si="26"/>
        <v>***::::TOT - ADMIN FEE  RECEIVABLE</v>
      </c>
      <c r="M51" s="5">
        <v>5</v>
      </c>
      <c r="N51" s="5">
        <v>4</v>
      </c>
      <c r="O51" s="5"/>
      <c r="P51" s="5">
        <v>1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83"/>
      <c r="AC51" s="83"/>
      <c r="AD51" s="83"/>
      <c r="AE51" s="83"/>
      <c r="AF51" s="83"/>
      <c r="AG51" s="9"/>
      <c r="AH51" s="65" t="str">
        <f>+_xlfn.XLOOKUP(E51,'[2]Personal Finance - TB (2)'!$J:$J,'[2]Personal Finance - TB (2)'!$G:$G,"",0)</f>
        <v/>
      </c>
      <c r="AM51" s="1" t="str">
        <f t="shared" si="1"/>
        <v>TABS.1450|TOTAL|***::::TOT - ADMIN FEE  RECEIVABLE|5|4||1|||||||||||||||||</v>
      </c>
      <c r="BZ51" s="75"/>
      <c r="CA51" s="75"/>
      <c r="CD51" s="75"/>
      <c r="CE51" s="75"/>
    </row>
    <row r="52" spans="1:87" s="46" customFormat="1" x14ac:dyDescent="0.2">
      <c r="A52" s="43" t="s">
        <v>559</v>
      </c>
      <c r="B52" s="2" t="s">
        <v>86</v>
      </c>
      <c r="C52" s="3"/>
      <c r="D52" s="3">
        <v>3000</v>
      </c>
      <c r="E52" s="2" t="s">
        <v>607</v>
      </c>
      <c r="F52" s="2" t="s">
        <v>10</v>
      </c>
      <c r="G52" s="50" t="s">
        <v>22</v>
      </c>
      <c r="H52" s="2"/>
      <c r="I52" s="61" t="s">
        <v>452</v>
      </c>
      <c r="J52" s="87" t="str">
        <f t="shared" si="2"/>
        <v>TABS.1470</v>
      </c>
      <c r="K52" s="87" t="str">
        <f t="shared" si="3"/>
        <v>HEADING</v>
      </c>
      <c r="L52" s="2" t="str">
        <f t="shared" si="26"/>
        <v>**::::OTHER IJARAH FEE RECEIVABLE</v>
      </c>
      <c r="M52" s="3"/>
      <c r="N52" s="2"/>
      <c r="O52" s="2"/>
      <c r="P52" s="2">
        <v>1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81"/>
      <c r="AC52" s="81"/>
      <c r="AD52" s="81"/>
      <c r="AE52" s="81"/>
      <c r="AF52" s="81"/>
      <c r="AG52" s="7"/>
      <c r="AH52" s="46" t="str">
        <f>+_xlfn.XLOOKUP(E52,'[2]Personal Finance - TB (2)'!$J:$J,'[2]Personal Finance - TB (2)'!$G:$G,"",0)</f>
        <v/>
      </c>
      <c r="AM52" s="1" t="str">
        <f t="shared" si="1"/>
        <v>TABS.1470|HEADING|**::::OTHER IJARAH FEE RECEIVABLE||||1|||||||||||||||||</v>
      </c>
      <c r="BZ52" s="79"/>
      <c r="CA52" s="79"/>
      <c r="CH52" s="79"/>
      <c r="CI52" s="79"/>
    </row>
    <row r="53" spans="1:87" x14ac:dyDescent="0.2">
      <c r="A53" s="31" t="s">
        <v>560</v>
      </c>
      <c r="B53" s="4" t="s">
        <v>86</v>
      </c>
      <c r="C53" s="6"/>
      <c r="D53" s="6">
        <v>3002</v>
      </c>
      <c r="E53" s="36" t="s">
        <v>608</v>
      </c>
      <c r="F53" s="4" t="s">
        <v>11</v>
      </c>
      <c r="G53" s="53" t="str">
        <f t="shared" ref="G53" si="27">+RIGHT(E53,4)</f>
        <v>1500</v>
      </c>
      <c r="H53" s="4"/>
      <c r="I53" s="25" t="s">
        <v>249</v>
      </c>
      <c r="J53" s="25" t="str">
        <f t="shared" si="2"/>
        <v>TABS.1500</v>
      </c>
      <c r="K53" s="25" t="str">
        <f t="shared" si="3"/>
        <v>DETAIL</v>
      </c>
      <c r="L53" s="4" t="str">
        <f t="shared" ref="L53" si="28">+_xlfn.TEXTJOIN("::",FALSE,G53:I53)</f>
        <v>1500::::DELAY TRANSFER FEE</v>
      </c>
      <c r="M53" s="4"/>
      <c r="N53" s="4">
        <v>5</v>
      </c>
      <c r="O53" s="4"/>
      <c r="P53" s="4"/>
      <c r="Q53" s="4"/>
      <c r="R53" s="4"/>
      <c r="S53" s="4"/>
      <c r="T53" s="36" t="s">
        <v>429</v>
      </c>
      <c r="U53" s="36"/>
      <c r="V53" s="54" t="s">
        <v>437</v>
      </c>
      <c r="W53" s="4"/>
      <c r="X53" s="4"/>
      <c r="Y53" s="4"/>
      <c r="Z53" s="36" t="s">
        <v>448</v>
      </c>
      <c r="AA53" s="4"/>
      <c r="AB53" s="84"/>
      <c r="AC53" s="84"/>
      <c r="AD53" s="84"/>
      <c r="AE53" s="84"/>
      <c r="AF53" s="84"/>
      <c r="AG53" s="8"/>
      <c r="AH53" s="1" t="str">
        <f>+_xlfn.XLOOKUP(E53,'[2]Personal Finance - TB (2)'!$J:$J,'[2]Personal Finance - TB (2)'!$G:$G,"",0)</f>
        <v/>
      </c>
      <c r="AM53" s="1" t="str">
        <f t="shared" si="1"/>
        <v>TABS.1500|DETAIL|1500::::DELAY TRANSFER FEE||5||||||AC::AC::AC::AC::AC::AC::AC::AC||3116::3116::3116::3116::3116::3116::3116::3116||||DUEDELAYTRANSFER::S01DELAYTRANSFER::S2ADELAYTRANSFER::S2BDELAYTRANSFER::S3ADELAYTRANSFER::S3BDELAYTRANSFER::S4ADELAYTRANSFER::S4BDELAYTRANSFER|||||||</v>
      </c>
      <c r="CD53" s="1"/>
      <c r="CE53" s="1"/>
      <c r="CH53" s="22"/>
      <c r="CI53" s="22"/>
    </row>
    <row r="54" spans="1:87" x14ac:dyDescent="0.2">
      <c r="A54" s="31" t="s">
        <v>561</v>
      </c>
      <c r="B54" s="4" t="s">
        <v>86</v>
      </c>
      <c r="C54" s="6"/>
      <c r="D54" s="6">
        <v>3002</v>
      </c>
      <c r="E54" s="36" t="s">
        <v>609</v>
      </c>
      <c r="F54" s="4" t="s">
        <v>11</v>
      </c>
      <c r="G54" s="53" t="str">
        <f t="shared" ref="G54" si="29">+RIGHT(E54,4)</f>
        <v>1510</v>
      </c>
      <c r="H54" s="4"/>
      <c r="I54" s="25" t="s">
        <v>247</v>
      </c>
      <c r="J54" s="25" t="str">
        <f t="shared" si="2"/>
        <v>TABS.1510</v>
      </c>
      <c r="K54" s="25" t="str">
        <f t="shared" si="3"/>
        <v>DETAIL</v>
      </c>
      <c r="L54" s="4" t="str">
        <f t="shared" ref="L54" si="30">+_xlfn.TEXTJOIN("::",FALSE,G54:I54)</f>
        <v>1510::::REGISTRATION RENEWAL FEE</v>
      </c>
      <c r="M54" s="4"/>
      <c r="N54" s="4">
        <v>5</v>
      </c>
      <c r="O54" s="4"/>
      <c r="P54" s="4"/>
      <c r="Q54" s="4"/>
      <c r="R54" s="4"/>
      <c r="S54" s="4"/>
      <c r="T54" s="36" t="s">
        <v>425</v>
      </c>
      <c r="U54" s="36"/>
      <c r="V54" s="54" t="s">
        <v>436</v>
      </c>
      <c r="W54" s="4"/>
      <c r="X54" s="4"/>
      <c r="Y54" s="4"/>
      <c r="Z54" s="36" t="s">
        <v>449</v>
      </c>
      <c r="AA54" s="4"/>
      <c r="AB54" s="84"/>
      <c r="AC54" s="84"/>
      <c r="AD54" s="84"/>
      <c r="AE54" s="84"/>
      <c r="AF54" s="84"/>
      <c r="AG54" s="8"/>
      <c r="AH54" s="1" t="str">
        <f>+_xlfn.XLOOKUP(E54,'[2]Personal Finance - TB (2)'!$J:$J,'[2]Personal Finance - TB (2)'!$G:$G,"",0)</f>
        <v/>
      </c>
      <c r="AM54" s="1" t="str">
        <f t="shared" si="1"/>
        <v>TABS.1510|DETAIL|1510::::REGISTRATION RENEWAL FEE||5||||||AC::AC::AC::AC::AC::AC::AC||3116::3116::3116::3116::3116::3116::3116||||DUEREGRENEWALFEE::S01REGRENEWALFEE::S2AREGRENEWALFEE::S2BREGRENEWALFEE::S3AREGRENEWALFEE::S3BREGRENEWALFEE::S4AREGRENEWALFEE|||||||</v>
      </c>
      <c r="CD54" s="1"/>
      <c r="CE54" s="1"/>
      <c r="CH54" s="22"/>
      <c r="CI54" s="22"/>
    </row>
    <row r="55" spans="1:87" x14ac:dyDescent="0.2">
      <c r="A55" s="31" t="s">
        <v>562</v>
      </c>
      <c r="B55" s="4" t="s">
        <v>86</v>
      </c>
      <c r="C55" s="6"/>
      <c r="D55" s="6">
        <v>3002</v>
      </c>
      <c r="E55" s="36" t="s">
        <v>610</v>
      </c>
      <c r="F55" s="4" t="s">
        <v>11</v>
      </c>
      <c r="G55" s="53" t="str">
        <f t="shared" ref="G55" si="31">+RIGHT(E55,4)</f>
        <v>1520</v>
      </c>
      <c r="H55" s="4"/>
      <c r="I55" s="25" t="s">
        <v>451</v>
      </c>
      <c r="J55" s="25" t="str">
        <f t="shared" si="2"/>
        <v>TABS.1520</v>
      </c>
      <c r="K55" s="25" t="str">
        <f t="shared" si="3"/>
        <v>DETAIL</v>
      </c>
      <c r="L55" s="4" t="str">
        <f t="shared" ref="L55" si="32">+_xlfn.TEXTJOIN("::",FALSE,G55:I55)</f>
        <v>1520::::REPOSSESSION FEE</v>
      </c>
      <c r="M55" s="4"/>
      <c r="N55" s="4">
        <v>5</v>
      </c>
      <c r="O55" s="4"/>
      <c r="P55" s="4"/>
      <c r="Q55" s="4"/>
      <c r="R55" s="4"/>
      <c r="S55" s="4"/>
      <c r="T55" s="36" t="s">
        <v>425</v>
      </c>
      <c r="U55" s="36"/>
      <c r="V55" s="54" t="s">
        <v>436</v>
      </c>
      <c r="W55" s="4"/>
      <c r="X55" s="4"/>
      <c r="Y55" s="4"/>
      <c r="Z55" s="36" t="s">
        <v>450</v>
      </c>
      <c r="AA55" s="4"/>
      <c r="AB55" s="84"/>
      <c r="AC55" s="84"/>
      <c r="AD55" s="84"/>
      <c r="AE55" s="84"/>
      <c r="AF55" s="84"/>
      <c r="AG55" s="8"/>
      <c r="AH55" s="1" t="str">
        <f>+_xlfn.XLOOKUP(E55,'[2]Personal Finance - TB (2)'!$J:$J,'[2]Personal Finance - TB (2)'!$G:$G,"",0)</f>
        <v/>
      </c>
      <c r="AM55" s="1" t="str">
        <f t="shared" si="1"/>
        <v>TABS.1520|DETAIL|1520::::REPOSSESSION FEE||5||||||AC::AC::AC::AC::AC::AC::AC||3116::3116::3116::3116::3116::3116::3116||||DUEREPOCHARGE::S01REPOCHARGE::S2AREPOCHARGE::S2BREPOCHARGE::S3AREPOCHARGE::S3BREPOCHARGE::S4AREPOCHARGE|||||||</v>
      </c>
      <c r="CD55" s="1"/>
      <c r="CE55" s="1"/>
      <c r="CH55" s="22"/>
      <c r="CI55" s="22"/>
    </row>
    <row r="56" spans="1:87" x14ac:dyDescent="0.2">
      <c r="A56" s="31" t="s">
        <v>563</v>
      </c>
      <c r="B56" s="4" t="s">
        <v>86</v>
      </c>
      <c r="C56" s="6"/>
      <c r="D56" s="6">
        <v>3002</v>
      </c>
      <c r="E56" s="36" t="s">
        <v>611</v>
      </c>
      <c r="F56" s="4" t="s">
        <v>11</v>
      </c>
      <c r="G56" s="53" t="str">
        <f t="shared" ref="G56" si="33">+RIGHT(E56,4)</f>
        <v>1530</v>
      </c>
      <c r="H56" s="4"/>
      <c r="I56" s="25" t="s">
        <v>248</v>
      </c>
      <c r="J56" s="25" t="str">
        <f t="shared" si="2"/>
        <v>TABS.1530</v>
      </c>
      <c r="K56" s="25" t="str">
        <f t="shared" si="3"/>
        <v>DETAIL</v>
      </c>
      <c r="L56" s="4" t="str">
        <f t="shared" ref="L56:L57" si="34">+_xlfn.TEXTJOIN("::",FALSE,G56:I56)</f>
        <v>1530::::TRAFFIC VIOLATION FEE</v>
      </c>
      <c r="M56" s="4"/>
      <c r="N56" s="4">
        <v>5</v>
      </c>
      <c r="O56" s="4"/>
      <c r="P56" s="4"/>
      <c r="Q56" s="4"/>
      <c r="R56" s="4"/>
      <c r="S56" s="4"/>
      <c r="T56" s="36" t="s">
        <v>425</v>
      </c>
      <c r="U56" s="36"/>
      <c r="V56" s="54" t="s">
        <v>436</v>
      </c>
      <c r="W56" s="4"/>
      <c r="X56" s="4"/>
      <c r="Y56" s="4"/>
      <c r="Z56" s="36" t="s">
        <v>702</v>
      </c>
      <c r="AA56" s="4"/>
      <c r="AB56" s="84"/>
      <c r="AC56" s="84"/>
      <c r="AD56" s="84"/>
      <c r="AE56" s="84"/>
      <c r="AF56" s="84"/>
      <c r="AG56" s="8"/>
      <c r="AH56" s="1" t="str">
        <f>+_xlfn.XLOOKUP(E56,'[2]Personal Finance - TB (2)'!$J:$J,'[2]Personal Finance - TB (2)'!$G:$G,"",0)</f>
        <v/>
      </c>
      <c r="AM56" s="1" t="str">
        <f t="shared" si="1"/>
        <v>TABS.1530|DETAIL|1530::::TRAFFIC VIOLATION FEE||5||||||AC::AC::AC::AC::AC::AC::AC||3116::3116::3116::3116::3116::3116::3116||||DUETRAFFICFEE::S01TRAFFICFEE::S2ATRAFFICFEE::S2BTRAFFICFEE::S3ATRAFFICFEE::S3BTRAFFICFEE::S4ATRAFFICFEE|||||||</v>
      </c>
      <c r="CD56" s="1"/>
      <c r="CE56" s="1"/>
      <c r="CH56" s="22"/>
      <c r="CI56" s="22"/>
    </row>
    <row r="57" spans="1:87" s="65" customFormat="1" x14ac:dyDescent="0.2">
      <c r="A57" s="66"/>
      <c r="B57" s="5" t="s">
        <v>86</v>
      </c>
      <c r="C57" s="16"/>
      <c r="D57" s="19">
        <v>3250</v>
      </c>
      <c r="E57" s="5" t="s">
        <v>612</v>
      </c>
      <c r="F57" s="5" t="s">
        <v>12</v>
      </c>
      <c r="G57" s="67" t="s">
        <v>30</v>
      </c>
      <c r="H57" s="5"/>
      <c r="I57" s="5" t="s">
        <v>453</v>
      </c>
      <c r="J57" s="5" t="str">
        <f t="shared" si="2"/>
        <v>TABS.1600</v>
      </c>
      <c r="K57" s="5" t="str">
        <f t="shared" si="3"/>
        <v>TOTAL</v>
      </c>
      <c r="L57" s="5" t="str">
        <f t="shared" si="34"/>
        <v>***::::TOT - OTHER IJARAH FEE RECEIVABLE</v>
      </c>
      <c r="M57" s="5">
        <v>5</v>
      </c>
      <c r="N57" s="5">
        <v>5</v>
      </c>
      <c r="O57" s="5"/>
      <c r="P57" s="5">
        <v>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83"/>
      <c r="AC57" s="83"/>
      <c r="AD57" s="83"/>
      <c r="AE57" s="83"/>
      <c r="AF57" s="83"/>
      <c r="AG57" s="9"/>
      <c r="AH57" s="65" t="str">
        <f>+_xlfn.XLOOKUP(E57,'[2]Personal Finance - TB (2)'!$J:$J,'[2]Personal Finance - TB (2)'!$G:$G,"",0)</f>
        <v/>
      </c>
      <c r="AM57" s="1" t="str">
        <f t="shared" si="1"/>
        <v>TABS.1600|TOTAL|***::::TOT - OTHER IJARAH FEE RECEIVABLE|5|5||1|||||||||||||||||</v>
      </c>
      <c r="BZ57" s="75"/>
      <c r="CA57" s="75"/>
      <c r="CD57" s="75"/>
      <c r="CE57" s="75"/>
    </row>
    <row r="58" spans="1:87" s="46" customFormat="1" x14ac:dyDescent="0.2">
      <c r="A58" s="43" t="s">
        <v>564</v>
      </c>
      <c r="B58" s="2" t="s">
        <v>86</v>
      </c>
      <c r="C58" s="3"/>
      <c r="D58" s="3">
        <v>3000</v>
      </c>
      <c r="E58" s="2" t="s">
        <v>613</v>
      </c>
      <c r="F58" s="2" t="s">
        <v>10</v>
      </c>
      <c r="G58" s="50" t="s">
        <v>22</v>
      </c>
      <c r="H58" s="2"/>
      <c r="I58" s="61" t="s">
        <v>472</v>
      </c>
      <c r="J58" s="87" t="str">
        <f t="shared" si="2"/>
        <v>TABS.1620</v>
      </c>
      <c r="K58" s="87" t="str">
        <f t="shared" si="3"/>
        <v>HEADING</v>
      </c>
      <c r="L58" s="2" t="str">
        <f t="shared" ref="L58:L59" si="35">+_xlfn.TEXTJOIN("::",FALSE,G58:I58)</f>
        <v>**::::OTHER RECEIVABLE FROM CUSTOMER</v>
      </c>
      <c r="M58" s="3"/>
      <c r="N58" s="2"/>
      <c r="O58" s="2"/>
      <c r="P58" s="2">
        <v>1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81"/>
      <c r="AC58" s="81"/>
      <c r="AD58" s="81"/>
      <c r="AE58" s="81"/>
      <c r="AF58" s="81"/>
      <c r="AG58" s="7"/>
      <c r="AH58" s="46" t="str">
        <f>+_xlfn.XLOOKUP(E58,'[2]Personal Finance - TB (2)'!$J:$J,'[2]Personal Finance - TB (2)'!$G:$G,"",0)</f>
        <v/>
      </c>
      <c r="AM58" s="1" t="str">
        <f t="shared" si="1"/>
        <v>TABS.1620|HEADING|**::::OTHER RECEIVABLE FROM CUSTOMER||||1|||||||||||||||||</v>
      </c>
      <c r="BZ58" s="79"/>
      <c r="CA58" s="79"/>
      <c r="CH58" s="79"/>
      <c r="CI58" s="79"/>
    </row>
    <row r="59" spans="1:87" x14ac:dyDescent="0.2">
      <c r="A59" s="31" t="s">
        <v>565</v>
      </c>
      <c r="B59" s="4" t="s">
        <v>86</v>
      </c>
      <c r="C59" s="6"/>
      <c r="D59" s="6">
        <v>3002</v>
      </c>
      <c r="E59" s="36" t="s">
        <v>614</v>
      </c>
      <c r="F59" s="4" t="s">
        <v>11</v>
      </c>
      <c r="G59" s="53" t="str">
        <f t="shared" ref="G59" si="36">+RIGHT(E59,4)</f>
        <v>1630</v>
      </c>
      <c r="H59" s="4"/>
      <c r="I59" s="25" t="s">
        <v>460</v>
      </c>
      <c r="J59" s="25" t="str">
        <f t="shared" si="2"/>
        <v>TABS.1630</v>
      </c>
      <c r="K59" s="25" t="str">
        <f t="shared" si="3"/>
        <v>DETAIL</v>
      </c>
      <c r="L59" s="4" t="str">
        <f t="shared" si="35"/>
        <v>1630::::VAT RECEIVABLE - TAWARRUQ</v>
      </c>
      <c r="M59" s="4"/>
      <c r="N59" s="4">
        <v>5</v>
      </c>
      <c r="O59" s="4"/>
      <c r="P59" s="4"/>
      <c r="Q59" s="4"/>
      <c r="R59" s="4"/>
      <c r="S59" s="4"/>
      <c r="T59" s="36" t="s">
        <v>429</v>
      </c>
      <c r="U59" s="36"/>
      <c r="V59" s="54" t="s">
        <v>430</v>
      </c>
      <c r="W59" s="4"/>
      <c r="X59" s="4"/>
      <c r="Y59" s="4"/>
      <c r="Z59" s="36" t="s">
        <v>471</v>
      </c>
      <c r="AA59" s="4"/>
      <c r="AB59" s="84"/>
      <c r="AC59" s="84"/>
      <c r="AD59" s="84"/>
      <c r="AE59" s="84"/>
      <c r="AF59" s="84"/>
      <c r="AG59" s="8"/>
      <c r="AH59" s="1" t="str">
        <f>+_xlfn.XLOOKUP(E59,'[2]Personal Finance - TB (2)'!$J:$J,'[2]Personal Finance - TB (2)'!$G:$G,"",0)</f>
        <v/>
      </c>
      <c r="AM59" s="1" t="str">
        <f t="shared" si="1"/>
        <v>TABS.1630|DETAIL|1630::::VAT RECEIVABLE - TAWARRUQ||5||||||AC::AC::AC::AC::AC::AC::AC::AC||3114::3114::3114::3114::3114::3114::3114::3114||||DUEVAT::S01VAT::S2AVAT::S2BVAT::S3AVAT::S3BVAT::S4AVAT::S4BVAT|||||||</v>
      </c>
      <c r="CD59" s="1"/>
      <c r="CE59" s="1"/>
      <c r="CH59" s="22"/>
      <c r="CI59" s="22"/>
    </row>
    <row r="60" spans="1:87" x14ac:dyDescent="0.2">
      <c r="A60" s="31" t="s">
        <v>566</v>
      </c>
      <c r="B60" s="4" t="s">
        <v>86</v>
      </c>
      <c r="C60" s="6"/>
      <c r="D60" s="6">
        <v>3002</v>
      </c>
      <c r="E60" s="36" t="s">
        <v>615</v>
      </c>
      <c r="F60" s="4" t="s">
        <v>11</v>
      </c>
      <c r="G60" s="53" t="str">
        <f t="shared" ref="G60" si="37">+RIGHT(E60,4)</f>
        <v>1640</v>
      </c>
      <c r="H60" s="4"/>
      <c r="I60" s="25" t="s">
        <v>461</v>
      </c>
      <c r="J60" s="25" t="str">
        <f t="shared" si="2"/>
        <v>TABS.1640</v>
      </c>
      <c r="K60" s="25" t="str">
        <f t="shared" si="3"/>
        <v>DETAIL</v>
      </c>
      <c r="L60" s="4" t="str">
        <f t="shared" ref="L60" si="38">+_xlfn.TEXTJOIN("::",FALSE,G60:I60)</f>
        <v>1640::::VAT RECEIVABLE - IJARAH</v>
      </c>
      <c r="M60" s="4"/>
      <c r="N60" s="4">
        <v>5</v>
      </c>
      <c r="O60" s="4"/>
      <c r="P60" s="4"/>
      <c r="Q60" s="4"/>
      <c r="R60" s="4"/>
      <c r="S60" s="4"/>
      <c r="T60" s="36" t="s">
        <v>429</v>
      </c>
      <c r="U60" s="36"/>
      <c r="V60" s="54" t="s">
        <v>437</v>
      </c>
      <c r="W60" s="4"/>
      <c r="X60" s="4"/>
      <c r="Y60" s="4"/>
      <c r="Z60" s="36" t="s">
        <v>471</v>
      </c>
      <c r="AA60" s="4"/>
      <c r="AB60" s="84"/>
      <c r="AC60" s="84"/>
      <c r="AD60" s="84"/>
      <c r="AE60" s="84"/>
      <c r="AF60" s="84"/>
      <c r="AG60" s="8"/>
      <c r="AH60" s="1" t="str">
        <f>+_xlfn.XLOOKUP(E60,'[2]Personal Finance - TB (2)'!$J:$J,'[2]Personal Finance - TB (2)'!$G:$G,"",0)</f>
        <v/>
      </c>
      <c r="AM60" s="1" t="str">
        <f t="shared" si="1"/>
        <v>TABS.1640|DETAIL|1640::::VAT RECEIVABLE - IJARAH||5||||||AC::AC::AC::AC::AC::AC::AC::AC||3116::3116::3116::3116::3116::3116::3116::3116||||DUEVAT::S01VAT::S2AVAT::S2BVAT::S3AVAT::S3BVAT::S4AVAT::S4BVAT|||||||</v>
      </c>
      <c r="CD60" s="1"/>
      <c r="CE60" s="1"/>
      <c r="CH60" s="22"/>
      <c r="CI60" s="22"/>
    </row>
    <row r="61" spans="1:87" x14ac:dyDescent="0.2">
      <c r="A61" s="31" t="s">
        <v>567</v>
      </c>
      <c r="B61" s="4" t="s">
        <v>86</v>
      </c>
      <c r="C61" s="6"/>
      <c r="D61" s="6">
        <v>3002</v>
      </c>
      <c r="E61" s="36" t="s">
        <v>616</v>
      </c>
      <c r="F61" s="4" t="s">
        <v>11</v>
      </c>
      <c r="G61" s="53" t="str">
        <f t="shared" ref="G61" si="39">+RIGHT(E61,4)</f>
        <v>1650</v>
      </c>
      <c r="H61" s="4"/>
      <c r="I61" s="25" t="s">
        <v>462</v>
      </c>
      <c r="J61" s="25" t="str">
        <f t="shared" si="2"/>
        <v>TABS.1650</v>
      </c>
      <c r="K61" s="25" t="str">
        <f t="shared" si="3"/>
        <v>DETAIL</v>
      </c>
      <c r="L61" s="4" t="str">
        <f t="shared" ref="L61" si="40">+_xlfn.TEXTJOIN("::",FALSE,G61:I61)</f>
        <v>1650::::VAT RECEIVABLE - MURABAHA</v>
      </c>
      <c r="M61" s="4"/>
      <c r="N61" s="4">
        <v>5</v>
      </c>
      <c r="O61" s="4"/>
      <c r="P61" s="4"/>
      <c r="Q61" s="4"/>
      <c r="R61" s="4"/>
      <c r="S61" s="4"/>
      <c r="T61" s="36" t="s">
        <v>429</v>
      </c>
      <c r="U61" s="36"/>
      <c r="V61" s="54" t="s">
        <v>441</v>
      </c>
      <c r="W61" s="4"/>
      <c r="X61" s="4"/>
      <c r="Y61" s="4"/>
      <c r="Z61" s="36" t="s">
        <v>471</v>
      </c>
      <c r="AA61" s="4"/>
      <c r="AB61" s="84"/>
      <c r="AC61" s="84"/>
      <c r="AD61" s="84"/>
      <c r="AE61" s="84"/>
      <c r="AF61" s="84"/>
      <c r="AG61" s="8"/>
      <c r="AH61" s="1" t="str">
        <f>+_xlfn.XLOOKUP(E61,'[2]Personal Finance - TB (2)'!$J:$J,'[2]Personal Finance - TB (2)'!$G:$G,"",0)</f>
        <v/>
      </c>
      <c r="AM61" s="1" t="str">
        <f t="shared" si="1"/>
        <v>TABS.1650|DETAIL|1650::::VAT RECEIVABLE - MURABAHA||5||||||AC::AC::AC::AC::AC::AC::AC::AC||3115::3115::3115::3115::3115::3115::3115::3115||||DUEVAT::S01VAT::S2AVAT::S2BVAT::S3AVAT::S3BVAT::S4AVAT::S4BVAT|||||||</v>
      </c>
      <c r="CD61" s="1"/>
      <c r="CE61" s="1"/>
      <c r="CH61" s="22"/>
      <c r="CI61" s="22"/>
    </row>
    <row r="62" spans="1:87" x14ac:dyDescent="0.2">
      <c r="A62" s="31" t="s">
        <v>568</v>
      </c>
      <c r="B62" s="4" t="s">
        <v>86</v>
      </c>
      <c r="C62" s="6"/>
      <c r="D62" s="6">
        <v>3002</v>
      </c>
      <c r="E62" s="36" t="s">
        <v>617</v>
      </c>
      <c r="F62" s="4" t="s">
        <v>11</v>
      </c>
      <c r="G62" s="53" t="str">
        <f t="shared" ref="G62" si="41">+RIGHT(E62,4)</f>
        <v>1660</v>
      </c>
      <c r="H62" s="4"/>
      <c r="I62" s="25" t="s">
        <v>463</v>
      </c>
      <c r="J62" s="25" t="str">
        <f t="shared" si="2"/>
        <v>TABS.1660</v>
      </c>
      <c r="K62" s="25" t="str">
        <f t="shared" si="3"/>
        <v>DETAIL</v>
      </c>
      <c r="L62" s="4" t="str">
        <f t="shared" ref="L62" si="42">+_xlfn.TEXTJOIN("::",FALSE,G62:I62)</f>
        <v>1660::::INSURANCE RECEIVABLE - IJARAH</v>
      </c>
      <c r="M62" s="4"/>
      <c r="N62" s="4">
        <v>5</v>
      </c>
      <c r="O62" s="4"/>
      <c r="P62" s="4"/>
      <c r="Q62" s="4"/>
      <c r="R62" s="4"/>
      <c r="S62" s="4"/>
      <c r="T62" s="36" t="s">
        <v>429</v>
      </c>
      <c r="U62" s="36"/>
      <c r="V62" s="54" t="s">
        <v>437</v>
      </c>
      <c r="W62" s="4"/>
      <c r="X62" s="4"/>
      <c r="Y62" s="4"/>
      <c r="Z62" s="36" t="s">
        <v>470</v>
      </c>
      <c r="AA62" s="4"/>
      <c r="AB62" s="84"/>
      <c r="AC62" s="84"/>
      <c r="AD62" s="84"/>
      <c r="AE62" s="84"/>
      <c r="AF62" s="84"/>
      <c r="AG62" s="8"/>
      <c r="AH62" s="1" t="str">
        <f>+_xlfn.XLOOKUP(E62,'[2]Personal Finance - TB (2)'!$J:$J,'[2]Personal Finance - TB (2)'!$G:$G,"",0)</f>
        <v/>
      </c>
      <c r="AM62" s="1" t="str">
        <f t="shared" si="1"/>
        <v>TABS.1660|DETAIL|1660::::INSURANCE RECEIVABLE - IJARAH||5||||||AC::AC::AC::AC::AC::AC::AC::AC||3116::3116::3116::3116::3116::3116::3116::3116||||ACCINSREVENUE::DUEINSREVENUE::S01INSREVENUE::S2AINSREVENUE::S2BINSREVENUE::S3AINSREVENUE::S3BINSREVENUE::S4AINSREVENUE|||||||</v>
      </c>
      <c r="CD62" s="1"/>
      <c r="CE62" s="1"/>
      <c r="CH62" s="22"/>
      <c r="CI62" s="22"/>
    </row>
    <row r="63" spans="1:87" s="65" customFormat="1" x14ac:dyDescent="0.2">
      <c r="A63" s="66"/>
      <c r="B63" s="5" t="s">
        <v>86</v>
      </c>
      <c r="C63" s="16"/>
      <c r="D63" s="19">
        <v>3250</v>
      </c>
      <c r="E63" s="5" t="s">
        <v>618</v>
      </c>
      <c r="F63" s="5" t="s">
        <v>12</v>
      </c>
      <c r="G63" s="67" t="s">
        <v>30</v>
      </c>
      <c r="H63" s="5"/>
      <c r="I63" s="5" t="s">
        <v>638</v>
      </c>
      <c r="J63" s="5" t="str">
        <f t="shared" si="2"/>
        <v>TABS.1700</v>
      </c>
      <c r="K63" s="5" t="str">
        <f t="shared" si="3"/>
        <v>TOTAL</v>
      </c>
      <c r="L63" s="5" t="str">
        <f t="shared" ref="L63:L66" si="43">+_xlfn.TEXTJOIN("::",FALSE,G63:I63)</f>
        <v>***::::TOT - OTHER REC FROM CUSTOMER</v>
      </c>
      <c r="M63" s="5">
        <v>5</v>
      </c>
      <c r="N63" s="5">
        <v>4</v>
      </c>
      <c r="O63" s="5"/>
      <c r="P63" s="5">
        <v>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83"/>
      <c r="AC63" s="83"/>
      <c r="AD63" s="83"/>
      <c r="AE63" s="83"/>
      <c r="AF63" s="83"/>
      <c r="AG63" s="9"/>
      <c r="AH63" s="65" t="str">
        <f>+_xlfn.XLOOKUP(E63,'[2]Personal Finance - TB (2)'!$J:$J,'[2]Personal Finance - TB (2)'!$G:$G,"",0)</f>
        <v/>
      </c>
      <c r="AM63" s="1" t="str">
        <f t="shared" si="1"/>
        <v>TABS.1700|TOTAL|***::::TOT - OTHER REC FROM CUSTOMER|5|4||1|||||||||||||||||</v>
      </c>
      <c r="BZ63" s="75"/>
      <c r="CA63" s="75"/>
      <c r="CD63" s="75"/>
      <c r="CE63" s="75"/>
    </row>
    <row r="64" spans="1:87" s="46" customFormat="1" x14ac:dyDescent="0.2">
      <c r="A64" s="43" t="s">
        <v>569</v>
      </c>
      <c r="B64" s="2" t="s">
        <v>86</v>
      </c>
      <c r="C64" s="3"/>
      <c r="D64" s="3">
        <v>3000</v>
      </c>
      <c r="E64" s="2" t="s">
        <v>619</v>
      </c>
      <c r="F64" s="2" t="s">
        <v>10</v>
      </c>
      <c r="G64" s="50" t="s">
        <v>22</v>
      </c>
      <c r="H64" s="2"/>
      <c r="I64" s="61" t="s">
        <v>53</v>
      </c>
      <c r="J64" s="87" t="str">
        <f t="shared" si="2"/>
        <v>TABS.1750</v>
      </c>
      <c r="K64" s="87" t="str">
        <f t="shared" si="3"/>
        <v>HEADING</v>
      </c>
      <c r="L64" s="2" t="str">
        <f t="shared" si="43"/>
        <v>**::::VAT ASSET</v>
      </c>
      <c r="M64" s="3"/>
      <c r="N64" s="2"/>
      <c r="O64" s="2"/>
      <c r="P64" s="2">
        <v>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81"/>
      <c r="AC64" s="81"/>
      <c r="AD64" s="81"/>
      <c r="AE64" s="81"/>
      <c r="AF64" s="81"/>
      <c r="AG64" s="7"/>
      <c r="AH64" s="46" t="str">
        <f>+_xlfn.XLOOKUP(E64,'[2]Personal Finance - TB (2)'!$J:$J,'[2]Personal Finance - TB (2)'!$G:$G,"",0)</f>
        <v/>
      </c>
      <c r="AM64" s="1" t="str">
        <f t="shared" si="1"/>
        <v>TABS.1750|HEADING|**::::VAT ASSET||||1|||||||||||||||||</v>
      </c>
      <c r="BZ64" s="79"/>
      <c r="CA64" s="79"/>
      <c r="CH64" s="79"/>
      <c r="CI64" s="79"/>
    </row>
    <row r="65" spans="1:87" x14ac:dyDescent="0.2">
      <c r="A65" s="31" t="s">
        <v>570</v>
      </c>
      <c r="B65" s="4" t="s">
        <v>86</v>
      </c>
      <c r="C65" s="6"/>
      <c r="D65" s="6">
        <v>3002</v>
      </c>
      <c r="E65" s="36" t="s">
        <v>620</v>
      </c>
      <c r="F65" s="4" t="s">
        <v>11</v>
      </c>
      <c r="G65" s="53" t="str">
        <f t="shared" ref="G65" si="44">+RIGHT(E65,4)</f>
        <v>1760</v>
      </c>
      <c r="H65" s="4"/>
      <c r="I65" s="25" t="s">
        <v>53</v>
      </c>
      <c r="J65" s="25" t="str">
        <f t="shared" si="2"/>
        <v>TABS.1760</v>
      </c>
      <c r="K65" s="25" t="str">
        <f t="shared" si="3"/>
        <v>DETAIL</v>
      </c>
      <c r="L65" s="4" t="str">
        <f t="shared" si="43"/>
        <v>1760::::VAT ASSET</v>
      </c>
      <c r="M65" s="4"/>
      <c r="N65" s="4">
        <v>5</v>
      </c>
      <c r="O65" s="4"/>
      <c r="P65" s="4"/>
      <c r="Q65" s="4"/>
      <c r="R65" s="4"/>
      <c r="S65" s="4"/>
      <c r="T65" s="36" t="s">
        <v>59</v>
      </c>
      <c r="U65" s="36"/>
      <c r="V65" s="54">
        <v>12206</v>
      </c>
      <c r="W65" s="4"/>
      <c r="X65" s="4"/>
      <c r="Y65" s="4"/>
      <c r="Z65" s="36" t="s">
        <v>700</v>
      </c>
      <c r="AA65" s="4"/>
      <c r="AB65" s="84"/>
      <c r="AC65" s="84"/>
      <c r="AD65" s="84"/>
      <c r="AE65" s="84"/>
      <c r="AF65" s="84"/>
      <c r="AG65" s="8"/>
      <c r="AH65" s="1" t="str">
        <f>+_xlfn.XLOOKUP(E65,'[2]Personal Finance - TB (2)'!$J:$J,'[2]Personal Finance - TB (2)'!$G:$G,"",0)</f>
        <v/>
      </c>
      <c r="AM65" s="1" t="str">
        <f t="shared" si="1"/>
        <v>TABS.1760|DETAIL|1760::::VAT ASSET||5||||||AC||12206||||DEBIT|||||||</v>
      </c>
      <c r="CD65" s="1"/>
      <c r="CE65" s="1"/>
      <c r="CH65" s="22"/>
      <c r="CI65" s="22"/>
    </row>
    <row r="66" spans="1:87" s="65" customFormat="1" x14ac:dyDescent="0.2">
      <c r="A66" s="66"/>
      <c r="B66" s="5" t="s">
        <v>86</v>
      </c>
      <c r="C66" s="16"/>
      <c r="D66" s="19">
        <v>3250</v>
      </c>
      <c r="E66" s="5" t="s">
        <v>621</v>
      </c>
      <c r="F66" s="5" t="s">
        <v>12</v>
      </c>
      <c r="G66" s="67" t="s">
        <v>30</v>
      </c>
      <c r="H66" s="5"/>
      <c r="I66" s="5" t="s">
        <v>459</v>
      </c>
      <c r="J66" s="5" t="str">
        <f t="shared" si="2"/>
        <v>TABS.1800</v>
      </c>
      <c r="K66" s="5" t="str">
        <f t="shared" si="3"/>
        <v>TOTAL</v>
      </c>
      <c r="L66" s="5" t="str">
        <f t="shared" si="43"/>
        <v>***::::TOT - VAT ASSET</v>
      </c>
      <c r="M66" s="5">
        <v>5</v>
      </c>
      <c r="N66" s="5">
        <v>4</v>
      </c>
      <c r="O66" s="5"/>
      <c r="P66" s="5">
        <v>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83"/>
      <c r="AC66" s="83"/>
      <c r="AD66" s="83"/>
      <c r="AE66" s="83"/>
      <c r="AF66" s="83"/>
      <c r="AG66" s="9"/>
      <c r="AH66" s="65" t="str">
        <f>+_xlfn.XLOOKUP(E66,'[2]Personal Finance - TB (2)'!$J:$J,'[2]Personal Finance - TB (2)'!$G:$G,"",0)</f>
        <v/>
      </c>
      <c r="AM66" s="1" t="str">
        <f t="shared" si="1"/>
        <v>TABS.1800|TOTAL|***::::TOT - VAT ASSET|5|4||1|||||||||||||||||</v>
      </c>
      <c r="BZ66" s="75"/>
      <c r="CA66" s="75"/>
      <c r="CD66" s="75"/>
      <c r="CE66" s="75"/>
    </row>
    <row r="67" spans="1:87" s="46" customFormat="1" x14ac:dyDescent="0.2">
      <c r="A67" s="43" t="s">
        <v>571</v>
      </c>
      <c r="B67" s="2" t="s">
        <v>86</v>
      </c>
      <c r="C67" s="3"/>
      <c r="D67" s="3">
        <v>3000</v>
      </c>
      <c r="E67" s="2" t="s">
        <v>622</v>
      </c>
      <c r="F67" s="2" t="s">
        <v>10</v>
      </c>
      <c r="G67" s="50" t="s">
        <v>22</v>
      </c>
      <c r="H67" s="2"/>
      <c r="I67" s="61" t="s">
        <v>466</v>
      </c>
      <c r="J67" s="87" t="str">
        <f t="shared" si="2"/>
        <v>TABS.1900</v>
      </c>
      <c r="K67" s="87" t="str">
        <f t="shared" si="3"/>
        <v>HEADING</v>
      </c>
      <c r="L67" s="2" t="str">
        <f t="shared" ref="L67" si="45">+_xlfn.TEXTJOIN("::",FALSE,G67:I67)</f>
        <v>**::::OTHER ASSETS</v>
      </c>
      <c r="M67" s="3"/>
      <c r="N67" s="2"/>
      <c r="O67" s="2"/>
      <c r="P67" s="2">
        <v>1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81"/>
      <c r="AC67" s="81"/>
      <c r="AD67" s="81"/>
      <c r="AE67" s="81"/>
      <c r="AF67" s="81"/>
      <c r="AG67" s="7"/>
      <c r="AH67" s="46" t="str">
        <f>+_xlfn.XLOOKUP(E67,'[2]Personal Finance - TB (2)'!$J:$J,'[2]Personal Finance - TB (2)'!$G:$G,"",0)</f>
        <v/>
      </c>
      <c r="AM67" s="1" t="str">
        <f t="shared" si="1"/>
        <v>TABS.1900|HEADING|**::::OTHER ASSETS||||1|||||||||||||||||</v>
      </c>
      <c r="BZ67" s="79"/>
      <c r="CA67" s="79"/>
      <c r="CH67" s="79"/>
      <c r="CI67" s="79"/>
    </row>
    <row r="68" spans="1:87" x14ac:dyDescent="0.2">
      <c r="A68" s="31" t="s">
        <v>572</v>
      </c>
      <c r="B68" s="4" t="s">
        <v>86</v>
      </c>
      <c r="C68" s="6"/>
      <c r="D68" s="6"/>
      <c r="E68" s="36" t="s">
        <v>623</v>
      </c>
      <c r="F68" s="4" t="s">
        <v>11</v>
      </c>
      <c r="G68" s="53" t="str">
        <f t="shared" ref="G68" si="46">+RIGHT(E68,4)</f>
        <v>1910</v>
      </c>
      <c r="H68" s="4"/>
      <c r="I68" s="25" t="s">
        <v>464</v>
      </c>
      <c r="J68" s="25" t="str">
        <f t="shared" si="2"/>
        <v>TABS.1910</v>
      </c>
      <c r="K68" s="25" t="str">
        <f t="shared" si="3"/>
        <v>DETAIL</v>
      </c>
      <c r="L68" s="4" t="str">
        <f t="shared" si="11"/>
        <v>1910::::PREPAID INSURANCE</v>
      </c>
      <c r="M68" s="4"/>
      <c r="N68" s="4">
        <v>5</v>
      </c>
      <c r="O68" s="4"/>
      <c r="P68" s="4"/>
      <c r="Q68" s="4"/>
      <c r="R68" s="4"/>
      <c r="S68" s="4"/>
      <c r="T68" s="36" t="s">
        <v>59</v>
      </c>
      <c r="U68" s="36"/>
      <c r="V68" s="54">
        <v>3116</v>
      </c>
      <c r="W68" s="4"/>
      <c r="X68" s="4"/>
      <c r="Y68" s="4"/>
      <c r="Z68" s="36" t="s">
        <v>469</v>
      </c>
      <c r="AA68" s="4"/>
      <c r="AB68" s="84"/>
      <c r="AC68" s="84"/>
      <c r="AD68" s="84"/>
      <c r="AE68" s="84"/>
      <c r="AF68" s="84"/>
      <c r="AG68" s="8"/>
      <c r="AM68" s="1" t="str">
        <f t="shared" si="1"/>
        <v>TABS.1910|DETAIL|1910::::PREPAID INSURANCE||5||||||AC||3116||||ACCINSCOST|||||||</v>
      </c>
      <c r="CD68" s="1"/>
      <c r="CE68" s="1"/>
      <c r="CH68" s="22"/>
      <c r="CI68" s="22"/>
    </row>
    <row r="69" spans="1:87" s="98" customFormat="1" x14ac:dyDescent="0.2">
      <c r="A69" s="91" t="s">
        <v>572</v>
      </c>
      <c r="B69" s="92" t="s">
        <v>86</v>
      </c>
      <c r="C69" s="93"/>
      <c r="D69" s="93"/>
      <c r="E69" s="92" t="s">
        <v>721</v>
      </c>
      <c r="F69" s="92" t="s">
        <v>11</v>
      </c>
      <c r="G69" s="94" t="str">
        <f t="shared" ref="G69" si="47">+RIGHT(E69,4)</f>
        <v>1920</v>
      </c>
      <c r="H69" s="92"/>
      <c r="I69" s="95" t="s">
        <v>722</v>
      </c>
      <c r="J69" s="95" t="str">
        <f t="shared" ref="J69" si="48">+E69</f>
        <v>TABS.1920</v>
      </c>
      <c r="K69" s="95" t="str">
        <f t="shared" ref="K69" si="49">+F69</f>
        <v>DETAIL</v>
      </c>
      <c r="L69" s="92" t="str">
        <f t="shared" ref="L69" si="50">+_xlfn.TEXTJOIN("::",FALSE,G69:I69)</f>
        <v>1920::::EARLY STLMNT FEE RECEIVABLE</v>
      </c>
      <c r="M69" s="92"/>
      <c r="N69" s="92">
        <v>5</v>
      </c>
      <c r="O69" s="92"/>
      <c r="P69" s="92"/>
      <c r="Q69" s="92"/>
      <c r="R69" s="92"/>
      <c r="S69" s="92"/>
      <c r="T69" s="92" t="s">
        <v>718</v>
      </c>
      <c r="U69" s="92"/>
      <c r="V69" s="94" t="s">
        <v>723</v>
      </c>
      <c r="W69" s="92"/>
      <c r="X69" s="92"/>
      <c r="Y69" s="92"/>
      <c r="Z69" s="92" t="s">
        <v>724</v>
      </c>
      <c r="AA69" s="92"/>
      <c r="AB69" s="96"/>
      <c r="AC69" s="96"/>
      <c r="AD69" s="96"/>
      <c r="AE69" s="96"/>
      <c r="AF69" s="96"/>
      <c r="AG69" s="97"/>
      <c r="AM69" s="98" t="str">
        <f t="shared" ref="AM69" si="51">+_xlfn.TEXTJOIN("|",FALSE,J69:AG69)</f>
        <v>TABS.1920|DETAIL|1920::::EARLY STLMNT FEE RECEIVABLE||5||||||AC::AC::AC||3116::3114::3115||||DUEPAYOFFFEE::DUEPAYOFFFEE::DUEPAYOFFFEE|||||||</v>
      </c>
      <c r="BZ69" s="99"/>
      <c r="CA69" s="99"/>
      <c r="CH69" s="99"/>
      <c r="CI69" s="99"/>
    </row>
    <row r="70" spans="1:87" s="98" customFormat="1" x14ac:dyDescent="0.2">
      <c r="A70" s="91" t="s">
        <v>572</v>
      </c>
      <c r="B70" s="92" t="s">
        <v>86</v>
      </c>
      <c r="C70" s="93"/>
      <c r="D70" s="93"/>
      <c r="E70" s="92" t="s">
        <v>733</v>
      </c>
      <c r="F70" s="92" t="s">
        <v>11</v>
      </c>
      <c r="G70" s="94" t="str">
        <f t="shared" ref="G70" si="52">+RIGHT(E70,4)</f>
        <v>1925</v>
      </c>
      <c r="H70" s="92"/>
      <c r="I70" s="95" t="s">
        <v>734</v>
      </c>
      <c r="J70" s="95" t="str">
        <f t="shared" ref="J70" si="53">+E70</f>
        <v>TABS.1925</v>
      </c>
      <c r="K70" s="95" t="str">
        <f t="shared" ref="K70" si="54">+F70</f>
        <v>DETAIL</v>
      </c>
      <c r="L70" s="92" t="str">
        <f t="shared" ref="L70" si="55">+_xlfn.TEXTJOIN("::",FALSE,G70:I70)</f>
        <v>1925::::PARTIAL STLMNT FEE RECEIVABLE</v>
      </c>
      <c r="M70" s="92"/>
      <c r="N70" s="92">
        <v>5</v>
      </c>
      <c r="O70" s="92"/>
      <c r="P70" s="92"/>
      <c r="Q70" s="92"/>
      <c r="R70" s="92"/>
      <c r="S70" s="92"/>
      <c r="T70" s="92" t="s">
        <v>718</v>
      </c>
      <c r="U70" s="92"/>
      <c r="V70" s="94" t="s">
        <v>723</v>
      </c>
      <c r="W70" s="92"/>
      <c r="X70" s="92"/>
      <c r="Y70" s="92"/>
      <c r="Z70" s="92" t="s">
        <v>735</v>
      </c>
      <c r="AA70" s="92"/>
      <c r="AB70" s="96"/>
      <c r="AC70" s="96"/>
      <c r="AD70" s="96"/>
      <c r="AE70" s="96"/>
      <c r="AF70" s="96"/>
      <c r="AG70" s="97"/>
      <c r="AM70" s="98" t="str">
        <f t="shared" ref="AM70" si="56">+_xlfn.TEXTJOIN("|",FALSE,J70:AG70)</f>
        <v>TABS.1925|DETAIL|1925::::PARTIAL STLMNT FEE RECEIVABLE||5||||||AC::AC::AC||3116::3114::3115||||DUEPARTIALSETLFEE::DUEPARTIALSETLFEE::DUEPARTIALSETLFEE|||||||</v>
      </c>
      <c r="BZ70" s="99"/>
      <c r="CA70" s="99"/>
      <c r="CH70" s="99"/>
      <c r="CI70" s="99"/>
    </row>
    <row r="71" spans="1:87" s="98" customFormat="1" x14ac:dyDescent="0.2">
      <c r="A71" s="91" t="s">
        <v>572</v>
      </c>
      <c r="B71" s="92" t="s">
        <v>86</v>
      </c>
      <c r="C71" s="93"/>
      <c r="D71" s="93"/>
      <c r="E71" s="36" t="str">
        <f t="shared" ref="E71" si="57">_xlfn.CONCAT($B$1,G71)</f>
        <v>TABS.1930</v>
      </c>
      <c r="F71" s="92" t="s">
        <v>11</v>
      </c>
      <c r="G71" s="94">
        <v>1930</v>
      </c>
      <c r="H71" s="92"/>
      <c r="I71" s="95" t="s">
        <v>742</v>
      </c>
      <c r="J71" s="95" t="str">
        <f t="shared" ref="J71" si="58">+E71</f>
        <v>TABS.1930</v>
      </c>
      <c r="K71" s="95" t="str">
        <f t="shared" ref="K71" si="59">+F71</f>
        <v>DETAIL</v>
      </c>
      <c r="L71" s="92" t="str">
        <f t="shared" ref="L71" si="60">+_xlfn.TEXTJOIN("::",FALSE,G71:I71)</f>
        <v>1930::::MDMC ROUTING ACCOUNT</v>
      </c>
      <c r="M71" s="92"/>
      <c r="N71" s="92">
        <v>5</v>
      </c>
      <c r="O71" s="92"/>
      <c r="P71" s="92"/>
      <c r="Q71" s="92"/>
      <c r="R71" s="92"/>
      <c r="S71" s="92"/>
      <c r="T71" s="92" t="s">
        <v>59</v>
      </c>
      <c r="U71" s="92"/>
      <c r="V71" s="94">
        <v>14013</v>
      </c>
      <c r="W71" s="92"/>
      <c r="X71" s="92"/>
      <c r="Y71" s="92"/>
      <c r="Z71" s="92"/>
      <c r="AA71" s="92"/>
      <c r="AB71" s="96"/>
      <c r="AC71" s="96"/>
      <c r="AD71" s="96"/>
      <c r="AE71" s="96"/>
      <c r="AF71" s="96"/>
      <c r="AG71" s="97"/>
      <c r="AM71" s="98" t="str">
        <f t="shared" ref="AM71" si="61">+_xlfn.TEXTJOIN("|",FALSE,J71:AG71)</f>
        <v>TABS.1930|DETAIL|1930::::MDMC ROUTING ACCOUNT||5||||||AC||14013|||||||||||</v>
      </c>
      <c r="BZ71" s="99"/>
      <c r="CA71" s="99"/>
      <c r="CH71" s="99"/>
      <c r="CI71" s="99"/>
    </row>
    <row r="72" spans="1:87" s="98" customFormat="1" x14ac:dyDescent="0.2">
      <c r="A72" s="91" t="s">
        <v>572</v>
      </c>
      <c r="B72" s="92" t="s">
        <v>86</v>
      </c>
      <c r="C72" s="93"/>
      <c r="D72" s="93"/>
      <c r="E72" s="36" t="str">
        <f t="shared" ref="E72" si="62">_xlfn.CONCAT($B$1,G72)</f>
        <v>TABS.1935</v>
      </c>
      <c r="F72" s="92" t="s">
        <v>11</v>
      </c>
      <c r="G72" s="94">
        <v>1935</v>
      </c>
      <c r="H72" s="92"/>
      <c r="I72" s="95" t="s">
        <v>244</v>
      </c>
      <c r="J72" s="95" t="str">
        <f t="shared" ref="J72" si="63">+E72</f>
        <v>TABS.1935</v>
      </c>
      <c r="K72" s="95" t="str">
        <f t="shared" ref="K72" si="64">+F72</f>
        <v>DETAIL</v>
      </c>
      <c r="L72" s="92" t="str">
        <f t="shared" ref="L72" si="65">+_xlfn.TEXTJOIN("::",FALSE,G72:I72)</f>
        <v>1935::::DISCOUNT FROM VENDOR</v>
      </c>
      <c r="M72" s="92"/>
      <c r="N72" s="92">
        <v>5</v>
      </c>
      <c r="O72" s="92"/>
      <c r="P72" s="92"/>
      <c r="Q72" s="92"/>
      <c r="R72" s="92"/>
      <c r="S72" s="92"/>
      <c r="T72" s="92" t="s">
        <v>59</v>
      </c>
      <c r="U72" s="92"/>
      <c r="V72" s="94">
        <v>16625</v>
      </c>
      <c r="W72" s="92"/>
      <c r="X72" s="92"/>
      <c r="Y72" s="92"/>
      <c r="Z72" s="92"/>
      <c r="AA72" s="92"/>
      <c r="AB72" s="96"/>
      <c r="AC72" s="96"/>
      <c r="AD72" s="96"/>
      <c r="AE72" s="96"/>
      <c r="AF72" s="96"/>
      <c r="AG72" s="97"/>
      <c r="AM72" s="98" t="str">
        <f t="shared" ref="AM72" si="66">+_xlfn.TEXTJOIN("|",FALSE,J72:AG72)</f>
        <v>TABS.1935|DETAIL|1935::::DISCOUNT FROM VENDOR||5||||||AC||16625|||||||||||</v>
      </c>
      <c r="BZ72" s="99"/>
      <c r="CA72" s="99"/>
      <c r="CH72" s="99"/>
      <c r="CI72" s="99"/>
    </row>
    <row r="73" spans="1:87" s="65" customFormat="1" x14ac:dyDescent="0.2">
      <c r="A73" s="66"/>
      <c r="B73" s="5" t="s">
        <v>86</v>
      </c>
      <c r="C73" s="16"/>
      <c r="D73" s="19">
        <v>3250</v>
      </c>
      <c r="E73" s="5" t="s">
        <v>189</v>
      </c>
      <c r="F73" s="5" t="s">
        <v>12</v>
      </c>
      <c r="G73" s="67" t="s">
        <v>30</v>
      </c>
      <c r="H73" s="5"/>
      <c r="I73" s="5" t="s">
        <v>467</v>
      </c>
      <c r="J73" s="5" t="str">
        <f t="shared" si="2"/>
        <v>TABS.2500</v>
      </c>
      <c r="K73" s="5" t="str">
        <f t="shared" si="3"/>
        <v>TOTAL</v>
      </c>
      <c r="L73" s="5" t="str">
        <f t="shared" si="11"/>
        <v>***::::TOT - OTHER ASSET</v>
      </c>
      <c r="M73" s="5">
        <v>5</v>
      </c>
      <c r="N73" s="5">
        <v>4</v>
      </c>
      <c r="O73" s="5"/>
      <c r="P73" s="5">
        <v>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83"/>
      <c r="AC73" s="83"/>
      <c r="AD73" s="83"/>
      <c r="AE73" s="83"/>
      <c r="AF73" s="83"/>
      <c r="AG73" s="9"/>
      <c r="AH73" s="65" t="str">
        <f>+_xlfn.XLOOKUP(E73,'[2]Personal Finance - TB (2)'!$J:$J,'[2]Personal Finance - TB (2)'!$G:$G,"",0)</f>
        <v/>
      </c>
      <c r="AM73" s="1" t="str">
        <f t="shared" si="1"/>
        <v>TABS.2500|TOTAL|***::::TOT - OTHER ASSET|5|4||1|||||||||||||||||</v>
      </c>
      <c r="BZ73" s="75"/>
      <c r="CA73" s="75"/>
      <c r="CD73" s="75"/>
      <c r="CE73" s="75"/>
    </row>
    <row r="74" spans="1:87" s="65" customFormat="1" x14ac:dyDescent="0.2">
      <c r="A74" s="66"/>
      <c r="B74" s="5" t="s">
        <v>86</v>
      </c>
      <c r="C74" s="16"/>
      <c r="D74" s="19">
        <v>4800</v>
      </c>
      <c r="E74" s="5" t="s">
        <v>190</v>
      </c>
      <c r="F74" s="5" t="s">
        <v>12</v>
      </c>
      <c r="G74" s="67" t="s">
        <v>103</v>
      </c>
      <c r="H74" s="5"/>
      <c r="I74" s="5" t="s">
        <v>468</v>
      </c>
      <c r="J74" s="5" t="str">
        <f t="shared" si="2"/>
        <v>TABS.2800</v>
      </c>
      <c r="K74" s="5" t="str">
        <f t="shared" si="3"/>
        <v>TOTAL</v>
      </c>
      <c r="L74" s="5" t="str">
        <f t="shared" si="11"/>
        <v>****::::TOT - RECEIVABLES &amp; OTHER ASSETS</v>
      </c>
      <c r="M74" s="5">
        <v>4</v>
      </c>
      <c r="N74" s="5">
        <v>3</v>
      </c>
      <c r="O74" s="5"/>
      <c r="P74" s="5">
        <v>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83"/>
      <c r="AC74" s="83"/>
      <c r="AD74" s="83"/>
      <c r="AE74" s="83"/>
      <c r="AF74" s="83"/>
      <c r="AG74" s="9"/>
      <c r="AH74" s="65" t="str">
        <f>+_xlfn.XLOOKUP(E74,'[2]Personal Finance - TB (2)'!$J:$J,'[2]Personal Finance - TB (2)'!$G:$G,"",0)</f>
        <v/>
      </c>
      <c r="AM74" s="1" t="str">
        <f t="shared" ref="AM74:AM136" si="67">+_xlfn.TEXTJOIN("|",FALSE,J74:AG74)</f>
        <v>TABS.2800|TOTAL|****::::TOT - RECEIVABLES &amp; OTHER ASSETS|4|3||1|||||||||||||||||</v>
      </c>
      <c r="BZ74" s="75"/>
      <c r="CA74" s="75"/>
      <c r="CD74" s="75"/>
      <c r="CE74" s="75"/>
    </row>
    <row r="75" spans="1:87" s="65" customFormat="1" x14ac:dyDescent="0.2">
      <c r="A75" s="66"/>
      <c r="B75" s="5" t="s">
        <v>86</v>
      </c>
      <c r="C75" s="16"/>
      <c r="D75" s="19">
        <v>4990</v>
      </c>
      <c r="E75" s="5" t="s">
        <v>191</v>
      </c>
      <c r="F75" s="5" t="s">
        <v>12</v>
      </c>
      <c r="G75" s="67" t="s">
        <v>103</v>
      </c>
      <c r="H75" s="5"/>
      <c r="I75" s="5" t="s">
        <v>34</v>
      </c>
      <c r="J75" s="5" t="str">
        <f t="shared" ref="J75:J136" si="68">+E75</f>
        <v>TABS.5000</v>
      </c>
      <c r="K75" s="5" t="str">
        <f t="shared" ref="K75:K136" si="69">+F75</f>
        <v>TOTAL</v>
      </c>
      <c r="L75" s="5" t="str">
        <f t="shared" si="11"/>
        <v>****::::TOT - ASSETS</v>
      </c>
      <c r="M75" s="5">
        <v>3</v>
      </c>
      <c r="N75" s="5">
        <v>1</v>
      </c>
      <c r="O75" s="5"/>
      <c r="P75" s="5">
        <v>1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83"/>
      <c r="AC75" s="83"/>
      <c r="AD75" s="83"/>
      <c r="AE75" s="83"/>
      <c r="AF75" s="83"/>
      <c r="AG75" s="9"/>
      <c r="AH75" s="65" t="str">
        <f>+_xlfn.XLOOKUP(E75,'[2]Personal Finance - TB (2)'!$J:$J,'[2]Personal Finance - TB (2)'!$G:$G,"",0)</f>
        <v/>
      </c>
      <c r="AM75" s="1" t="str">
        <f t="shared" si="67"/>
        <v>TABS.5000|TOTAL|****::::TOT - ASSETS|3|1||1|||||||||||||||||</v>
      </c>
      <c r="BZ75" s="75"/>
      <c r="CA75" s="75"/>
      <c r="CD75" s="75"/>
      <c r="CE75" s="75"/>
    </row>
    <row r="76" spans="1:87" s="46" customFormat="1" x14ac:dyDescent="0.2">
      <c r="A76" s="43"/>
      <c r="B76" s="2" t="s">
        <v>86</v>
      </c>
      <c r="C76" s="3"/>
      <c r="D76" s="2">
        <v>5000</v>
      </c>
      <c r="E76" s="2" t="s">
        <v>192</v>
      </c>
      <c r="F76" s="2" t="s">
        <v>10</v>
      </c>
      <c r="G76" s="50" t="s">
        <v>103</v>
      </c>
      <c r="H76" s="2"/>
      <c r="I76" s="61" t="s">
        <v>54</v>
      </c>
      <c r="J76" s="87" t="str">
        <f t="shared" si="68"/>
        <v>TABS.5020</v>
      </c>
      <c r="K76" s="87" t="str">
        <f t="shared" si="69"/>
        <v>HEADING</v>
      </c>
      <c r="L76" s="2" t="str">
        <f t="shared" si="11"/>
        <v>****::::EQUITY AND LIABILITIES</v>
      </c>
      <c r="M76" s="3"/>
      <c r="N76" s="2"/>
      <c r="O76" s="2"/>
      <c r="P76" s="2">
        <v>1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81"/>
      <c r="AC76" s="81"/>
      <c r="AD76" s="81"/>
      <c r="AE76" s="81"/>
      <c r="AF76" s="81"/>
      <c r="AG76" s="7"/>
      <c r="AH76" s="46" t="str">
        <f>+_xlfn.XLOOKUP(E76,'[2]Personal Finance - TB (2)'!$J:$J,'[2]Personal Finance - TB (2)'!$G:$G,"",0)</f>
        <v/>
      </c>
      <c r="AM76" s="1" t="str">
        <f t="shared" si="67"/>
        <v>TABS.5020|HEADING|****::::EQUITY AND LIABILITIES||||1|||||||||||||||||</v>
      </c>
      <c r="BZ76" s="79"/>
      <c r="CA76" s="79"/>
      <c r="CD76" s="79"/>
      <c r="CE76" s="79"/>
    </row>
    <row r="77" spans="1:87" s="46" customFormat="1" x14ac:dyDescent="0.2">
      <c r="A77" s="43">
        <v>2</v>
      </c>
      <c r="B77" s="2" t="s">
        <v>86</v>
      </c>
      <c r="C77" s="3"/>
      <c r="D77" s="2">
        <v>5001</v>
      </c>
      <c r="E77" s="2" t="s">
        <v>193</v>
      </c>
      <c r="F77" s="2" t="s">
        <v>10</v>
      </c>
      <c r="G77" s="50" t="s">
        <v>103</v>
      </c>
      <c r="H77" s="2"/>
      <c r="I77" s="62" t="s">
        <v>13</v>
      </c>
      <c r="J77" s="2" t="str">
        <f t="shared" si="68"/>
        <v>TABS.5050</v>
      </c>
      <c r="K77" s="2" t="str">
        <f t="shared" si="69"/>
        <v>HEADING</v>
      </c>
      <c r="L77" s="2" t="str">
        <f t="shared" si="11"/>
        <v>****::::EQUITY</v>
      </c>
      <c r="M77" s="3"/>
      <c r="N77" s="2"/>
      <c r="O77" s="2"/>
      <c r="P77" s="2">
        <v>2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81"/>
      <c r="AC77" s="81"/>
      <c r="AD77" s="81"/>
      <c r="AE77" s="81"/>
      <c r="AF77" s="81"/>
      <c r="AG77" s="7"/>
      <c r="AH77" s="46" t="str">
        <f>+_xlfn.XLOOKUP(E77,'[2]Personal Finance - TB (2)'!$J:$J,'[2]Personal Finance - TB (2)'!$G:$G,"",0)</f>
        <v/>
      </c>
      <c r="AM77" s="1" t="str">
        <f t="shared" si="67"/>
        <v>TABS.5050|HEADING|****::::EQUITY||||2|||||||||||||||||</v>
      </c>
      <c r="BZ77" s="79"/>
      <c r="CA77" s="79"/>
      <c r="CD77" s="79"/>
      <c r="CE77" s="79"/>
    </row>
    <row r="78" spans="1:87" x14ac:dyDescent="0.2">
      <c r="A78" s="31">
        <v>2.1</v>
      </c>
      <c r="B78" s="4" t="s">
        <v>86</v>
      </c>
      <c r="C78" s="6"/>
      <c r="D78" s="6">
        <v>5002</v>
      </c>
      <c r="E78" s="36" t="s">
        <v>194</v>
      </c>
      <c r="F78" s="36" t="s">
        <v>11</v>
      </c>
      <c r="G78" s="54" t="str">
        <f>+RIGHT(E78,4)</f>
        <v>5100</v>
      </c>
      <c r="H78" s="4"/>
      <c r="I78" s="4" t="s">
        <v>379</v>
      </c>
      <c r="J78" s="4" t="str">
        <f t="shared" si="68"/>
        <v>TABS.5100</v>
      </c>
      <c r="K78" s="4" t="str">
        <f t="shared" si="69"/>
        <v>DETAIL</v>
      </c>
      <c r="L78" s="4" t="str">
        <f t="shared" si="11"/>
        <v xml:space="preserve">5100::::NET PROFIT &amp; LOSS  </v>
      </c>
      <c r="M78" s="4"/>
      <c r="N78" s="4">
        <v>3</v>
      </c>
      <c r="O78" s="4"/>
      <c r="P78" s="4"/>
      <c r="Q78" s="4"/>
      <c r="R78" s="4"/>
      <c r="S78" s="4"/>
      <c r="T78" s="36"/>
      <c r="U78" s="36"/>
      <c r="V78" s="54"/>
      <c r="W78" s="4"/>
      <c r="X78" s="4"/>
      <c r="Y78" s="4"/>
      <c r="Z78" s="4"/>
      <c r="AA78" s="4"/>
      <c r="AB78" s="84"/>
      <c r="AC78" s="84"/>
      <c r="AD78" s="84"/>
      <c r="AE78" s="84"/>
      <c r="AF78" s="84"/>
      <c r="AG78" s="8" t="s">
        <v>29</v>
      </c>
      <c r="AH78" s="1" t="str">
        <f>+_xlfn.XLOOKUP(E78,'[2]Personal Finance - TB (2)'!$J:$J,'[2]Personal Finance - TB (2)'!$G:$G,"",0)</f>
        <v/>
      </c>
      <c r="AM78" s="1" t="str">
        <f t="shared" si="67"/>
        <v>TABS.5100|DETAIL|5100::::NET PROFIT &amp; LOSS  ||3|||||||||||||||||||DEF</v>
      </c>
    </row>
    <row r="79" spans="1:87" x14ac:dyDescent="0.2">
      <c r="A79" s="31">
        <v>2.2000000000000002</v>
      </c>
      <c r="B79" s="4" t="s">
        <v>86</v>
      </c>
      <c r="C79" s="6"/>
      <c r="D79" s="6">
        <v>5003</v>
      </c>
      <c r="E79" s="36" t="s">
        <v>195</v>
      </c>
      <c r="F79" s="36" t="s">
        <v>11</v>
      </c>
      <c r="G79" s="54" t="str">
        <f>+RIGHT(E79,4)</f>
        <v>5200</v>
      </c>
      <c r="H79" s="4"/>
      <c r="I79" s="4" t="s">
        <v>21</v>
      </c>
      <c r="J79" s="4" t="str">
        <f t="shared" si="68"/>
        <v>TABS.5200</v>
      </c>
      <c r="K79" s="4" t="str">
        <f t="shared" si="69"/>
        <v>DETAIL</v>
      </c>
      <c r="L79" s="4" t="str">
        <f t="shared" si="11"/>
        <v>5200::::RETAINED EARNINGS</v>
      </c>
      <c r="M79" s="4"/>
      <c r="N79" s="4">
        <v>3</v>
      </c>
      <c r="O79" s="4"/>
      <c r="P79" s="4"/>
      <c r="Q79" s="4"/>
      <c r="R79" s="4"/>
      <c r="S79" s="4"/>
      <c r="T79" s="36" t="s">
        <v>59</v>
      </c>
      <c r="U79" s="36"/>
      <c r="V79" s="54">
        <v>18045</v>
      </c>
      <c r="W79" s="4"/>
      <c r="X79" s="4"/>
      <c r="Y79" s="4"/>
      <c r="Z79" s="4"/>
      <c r="AA79" s="4"/>
      <c r="AB79" s="84"/>
      <c r="AC79" s="84"/>
      <c r="AD79" s="84"/>
      <c r="AE79" s="84"/>
      <c r="AF79" s="84"/>
      <c r="AG79" s="8"/>
      <c r="AH79" s="1" t="str">
        <f>+_xlfn.XLOOKUP(E79,'[2]Personal Finance - TB (2)'!$J:$J,'[2]Personal Finance - TB (2)'!$G:$G,"",0)</f>
        <v/>
      </c>
      <c r="AM79" s="1" t="str">
        <f t="shared" si="67"/>
        <v>TABS.5200|DETAIL|5200::::RETAINED EARNINGS||3||||||AC||18045|||||||||||</v>
      </c>
    </row>
    <row r="80" spans="1:87" s="65" customFormat="1" x14ac:dyDescent="0.2">
      <c r="A80" s="66"/>
      <c r="B80" s="5" t="s">
        <v>86</v>
      </c>
      <c r="C80" s="16"/>
      <c r="D80" s="19">
        <v>5050</v>
      </c>
      <c r="E80" s="5" t="s">
        <v>196</v>
      </c>
      <c r="F80" s="5" t="s">
        <v>12</v>
      </c>
      <c r="G80" s="67" t="s">
        <v>30</v>
      </c>
      <c r="H80" s="5"/>
      <c r="I80" s="5" t="s">
        <v>37</v>
      </c>
      <c r="J80" s="5" t="str">
        <f t="shared" si="68"/>
        <v>TABS.6000</v>
      </c>
      <c r="K80" s="5" t="str">
        <f t="shared" si="69"/>
        <v>TOTAL</v>
      </c>
      <c r="L80" s="5" t="str">
        <f t="shared" si="11"/>
        <v>***::::TOT - EQUITY</v>
      </c>
      <c r="M80" s="5">
        <v>3</v>
      </c>
      <c r="N80" s="5">
        <v>2</v>
      </c>
      <c r="O80" s="5"/>
      <c r="P80" s="5">
        <v>1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83"/>
      <c r="AC80" s="83"/>
      <c r="AD80" s="83"/>
      <c r="AE80" s="83"/>
      <c r="AF80" s="83"/>
      <c r="AG80" s="9"/>
      <c r="AH80" s="65" t="str">
        <f>+_xlfn.XLOOKUP(E80,'[2]Personal Finance - TB (2)'!$J:$J,'[2]Personal Finance - TB (2)'!$G:$G,"",0)</f>
        <v/>
      </c>
      <c r="AM80" s="1" t="str">
        <f t="shared" si="67"/>
        <v>TABS.6000|TOTAL|***::::TOT - EQUITY|3|2||1|||||||||||||||||</v>
      </c>
      <c r="BZ80" s="75"/>
      <c r="CA80" s="75"/>
      <c r="CD80" s="75"/>
      <c r="CE80" s="75"/>
    </row>
    <row r="81" spans="1:83" s="46" customFormat="1" x14ac:dyDescent="0.2">
      <c r="A81" s="43">
        <v>3</v>
      </c>
      <c r="B81" s="2" t="s">
        <v>86</v>
      </c>
      <c r="C81" s="3"/>
      <c r="D81" s="2">
        <v>5060</v>
      </c>
      <c r="E81" s="2" t="s">
        <v>197</v>
      </c>
      <c r="F81" s="2" t="s">
        <v>10</v>
      </c>
      <c r="G81" s="50" t="s">
        <v>103</v>
      </c>
      <c r="H81" s="2"/>
      <c r="I81" s="61" t="s">
        <v>18</v>
      </c>
      <c r="J81" s="87" t="str">
        <f t="shared" si="68"/>
        <v>TABS.6050</v>
      </c>
      <c r="K81" s="87" t="str">
        <f t="shared" si="69"/>
        <v>HEADING</v>
      </c>
      <c r="L81" s="2" t="str">
        <f t="shared" si="11"/>
        <v>****::::LIABILITIES</v>
      </c>
      <c r="M81" s="3"/>
      <c r="N81" s="2"/>
      <c r="O81" s="2"/>
      <c r="P81" s="2">
        <v>2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81"/>
      <c r="AC81" s="81"/>
      <c r="AD81" s="81"/>
      <c r="AE81" s="81"/>
      <c r="AF81" s="81"/>
      <c r="AG81" s="7"/>
      <c r="AH81" s="46" t="str">
        <f>+_xlfn.XLOOKUP(E81,'[2]Personal Finance - TB (2)'!$J:$J,'[2]Personal Finance - TB (2)'!$G:$G,"",0)</f>
        <v/>
      </c>
      <c r="AM81" s="1" t="str">
        <f t="shared" si="67"/>
        <v>TABS.6050|HEADING|****::::LIABILITIES||||2|||||||||||||||||</v>
      </c>
      <c r="BZ81" s="79"/>
      <c r="CA81" s="79"/>
      <c r="CD81" s="79"/>
      <c r="CE81" s="79"/>
    </row>
    <row r="82" spans="1:83" s="46" customFormat="1" x14ac:dyDescent="0.2">
      <c r="A82" s="47">
        <v>3.1</v>
      </c>
      <c r="B82" s="27" t="s">
        <v>86</v>
      </c>
      <c r="C82" s="26"/>
      <c r="D82" s="27">
        <v>5061</v>
      </c>
      <c r="E82" s="27" t="s">
        <v>198</v>
      </c>
      <c r="F82" s="27" t="s">
        <v>10</v>
      </c>
      <c r="G82" s="55" t="s">
        <v>22</v>
      </c>
      <c r="H82" s="27"/>
      <c r="I82" s="63" t="s">
        <v>93</v>
      </c>
      <c r="J82" s="90" t="str">
        <f t="shared" si="68"/>
        <v>TABS.6100</v>
      </c>
      <c r="K82" s="90" t="str">
        <f t="shared" si="69"/>
        <v>HEADING</v>
      </c>
      <c r="L82" s="2" t="str">
        <f t="shared" si="11"/>
        <v>**::::SETTLEMENT ACCOUNTS</v>
      </c>
      <c r="M82" s="26"/>
      <c r="N82" s="27"/>
      <c r="O82" s="27"/>
      <c r="P82" s="27">
        <v>1</v>
      </c>
      <c r="Q82" s="27"/>
      <c r="R82" s="27"/>
      <c r="S82" s="27"/>
      <c r="T82" s="2"/>
      <c r="U82" s="2"/>
      <c r="V82" s="2"/>
      <c r="W82" s="27"/>
      <c r="X82" s="27"/>
      <c r="Y82" s="27"/>
      <c r="Z82" s="27"/>
      <c r="AA82" s="27"/>
      <c r="AB82" s="85"/>
      <c r="AC82" s="85"/>
      <c r="AD82" s="85"/>
      <c r="AE82" s="85"/>
      <c r="AF82" s="85"/>
      <c r="AG82" s="28"/>
      <c r="AH82" s="46" t="str">
        <f>+_xlfn.XLOOKUP(E82,'[2]Personal Finance - TB (2)'!$J:$J,'[2]Personal Finance - TB (2)'!$G:$G,"",0)</f>
        <v/>
      </c>
      <c r="AM82" s="1" t="str">
        <f t="shared" si="67"/>
        <v>TABS.6100|HEADING|**::::SETTLEMENT ACCOUNTS||||1|||||||||||||||||</v>
      </c>
      <c r="BZ82" s="79"/>
      <c r="CA82" s="79"/>
      <c r="CD82" s="79"/>
      <c r="CE82" s="79"/>
    </row>
    <row r="83" spans="1:83" s="110" customFormat="1" x14ac:dyDescent="0.2">
      <c r="A83" s="103" t="s">
        <v>135</v>
      </c>
      <c r="B83" s="104" t="s">
        <v>86</v>
      </c>
      <c r="C83" s="105"/>
      <c r="D83" s="105">
        <v>5062</v>
      </c>
      <c r="E83" s="104" t="s">
        <v>199</v>
      </c>
      <c r="F83" s="104" t="s">
        <v>11</v>
      </c>
      <c r="G83" s="106" t="str">
        <f>+RIGHT(E83,4)</f>
        <v>6110</v>
      </c>
      <c r="H83" s="104"/>
      <c r="I83" s="107" t="s">
        <v>126</v>
      </c>
      <c r="J83" s="107" t="str">
        <f t="shared" si="68"/>
        <v>TABS.6110</v>
      </c>
      <c r="K83" s="107" t="str">
        <f t="shared" si="69"/>
        <v>DETAIL</v>
      </c>
      <c r="L83" s="104" t="str">
        <f t="shared" si="11"/>
        <v>6110::::CUSTOMER SETTLEMENT ACCOUNT</v>
      </c>
      <c r="M83" s="104"/>
      <c r="N83" s="104">
        <v>4</v>
      </c>
      <c r="O83" s="104"/>
      <c r="P83" s="104"/>
      <c r="Q83" s="104"/>
      <c r="R83" s="104"/>
      <c r="S83" s="104"/>
      <c r="T83" s="104" t="s">
        <v>422</v>
      </c>
      <c r="U83" s="104"/>
      <c r="V83" s="106" t="s">
        <v>697</v>
      </c>
      <c r="W83" s="104"/>
      <c r="X83" s="104"/>
      <c r="Y83" s="104"/>
      <c r="Z83" s="104" t="s">
        <v>696</v>
      </c>
      <c r="AA83" s="104"/>
      <c r="AB83" s="108"/>
      <c r="AC83" s="108"/>
      <c r="AD83" s="108"/>
      <c r="AE83" s="108"/>
      <c r="AF83" s="108"/>
      <c r="AG83" s="109"/>
      <c r="AH83" s="110" t="str">
        <f>+_xlfn.XLOOKUP(E83,'[2]Personal Finance - TB (2)'!$J:$J,'[2]Personal Finance - TB (2)'!$G:$G,"",0)</f>
        <v/>
      </c>
      <c r="AK83" s="110" t="b">
        <f>+IF(AH83=H83,TRUE,FALSE)</f>
        <v>1</v>
      </c>
      <c r="AM83" s="110" t="str">
        <f t="shared" si="67"/>
        <v>TABS.6110|DETAIL|6110::::CUSTOMER SETTLEMENT ACCOUNT||4||||||AC::AC||1342::1342||||CURBALANCE::CREDIT|||||||</v>
      </c>
      <c r="BZ83" s="111"/>
      <c r="CA83" s="111"/>
      <c r="CD83" s="111"/>
      <c r="CE83" s="111"/>
    </row>
    <row r="84" spans="1:83" s="98" customFormat="1" x14ac:dyDescent="0.2">
      <c r="A84" s="91" t="s">
        <v>136</v>
      </c>
      <c r="B84" s="92" t="s">
        <v>86</v>
      </c>
      <c r="C84" s="93"/>
      <c r="D84" s="93">
        <v>5063</v>
      </c>
      <c r="E84" s="92" t="s">
        <v>200</v>
      </c>
      <c r="F84" s="92" t="s">
        <v>11</v>
      </c>
      <c r="G84" s="94" t="str">
        <f>+RIGHT(E84,4)</f>
        <v>6120</v>
      </c>
      <c r="H84" s="92"/>
      <c r="I84" s="95" t="s">
        <v>400</v>
      </c>
      <c r="J84" s="95" t="str">
        <f t="shared" si="68"/>
        <v>TABS.6120</v>
      </c>
      <c r="K84" s="95" t="str">
        <f t="shared" si="69"/>
        <v>DETAIL</v>
      </c>
      <c r="L84" s="92" t="str">
        <f t="shared" si="11"/>
        <v>6120::::BROKER &amp; VENDOR SETTLEMENT ACCOUNT</v>
      </c>
      <c r="M84" s="92"/>
      <c r="N84" s="92">
        <v>4</v>
      </c>
      <c r="O84" s="92"/>
      <c r="P84" s="92"/>
      <c r="Q84" s="92"/>
      <c r="R84" s="92"/>
      <c r="S84" s="92"/>
      <c r="T84" s="92" t="s">
        <v>422</v>
      </c>
      <c r="U84" s="92"/>
      <c r="V84" s="94" t="s">
        <v>698</v>
      </c>
      <c r="W84" s="92"/>
      <c r="X84" s="92"/>
      <c r="Y84" s="92"/>
      <c r="Z84" s="92" t="s">
        <v>696</v>
      </c>
      <c r="AA84" s="92"/>
      <c r="AB84" s="96"/>
      <c r="AC84" s="96"/>
      <c r="AD84" s="96"/>
      <c r="AE84" s="96"/>
      <c r="AF84" s="96"/>
      <c r="AG84" s="97"/>
      <c r="AH84" s="98" t="str">
        <f>+_xlfn.XLOOKUP(E84,'[2]Personal Finance - TB (2)'!$J:$J,'[2]Personal Finance - TB (2)'!$G:$G,"",0)</f>
        <v/>
      </c>
      <c r="AK84" s="98" t="b">
        <f>+IF(AH84=H84,TRUE,FALSE)</f>
        <v>1</v>
      </c>
      <c r="AM84" s="98" t="str">
        <f t="shared" si="67"/>
        <v>TABS.6120|DETAIL|6120::::BROKER &amp; VENDOR SETTLEMENT ACCOUNT||4||||||AC::AC||1343::1343||||CURBALANCE::CREDIT|||||||</v>
      </c>
      <c r="BZ84" s="99"/>
      <c r="CA84" s="99"/>
      <c r="CD84" s="99"/>
      <c r="CE84" s="99"/>
    </row>
    <row r="85" spans="1:83" x14ac:dyDescent="0.2">
      <c r="A85" s="31" t="s">
        <v>573</v>
      </c>
      <c r="B85" s="4" t="s">
        <v>86</v>
      </c>
      <c r="C85" s="6"/>
      <c r="D85" s="6">
        <v>5063</v>
      </c>
      <c r="E85" s="36" t="s">
        <v>624</v>
      </c>
      <c r="F85" s="4" t="s">
        <v>11</v>
      </c>
      <c r="G85" s="53" t="str">
        <f>+RIGHT(E85,4)</f>
        <v>6130</v>
      </c>
      <c r="H85" s="4"/>
      <c r="I85" s="25" t="s">
        <v>127</v>
      </c>
      <c r="J85" s="25" t="str">
        <f t="shared" si="68"/>
        <v>TABS.6130</v>
      </c>
      <c r="K85" s="25" t="str">
        <f t="shared" si="69"/>
        <v>DETAIL</v>
      </c>
      <c r="L85" s="4" t="str">
        <f t="shared" ref="L85" si="70">+_xlfn.TEXTJOIN("::",FALSE,G85:I85)</f>
        <v>6130::::CUSTOMER DOWNPAYMENT ACCOUNT</v>
      </c>
      <c r="M85" s="4"/>
      <c r="N85" s="4">
        <v>4</v>
      </c>
      <c r="O85" s="4"/>
      <c r="P85" s="4"/>
      <c r="Q85" s="4"/>
      <c r="R85" s="4"/>
      <c r="S85" s="4"/>
      <c r="T85" s="36" t="s">
        <v>59</v>
      </c>
      <c r="U85" s="36"/>
      <c r="V85" s="54">
        <v>16605</v>
      </c>
      <c r="W85" s="4"/>
      <c r="X85" s="4"/>
      <c r="Y85" s="4"/>
      <c r="Z85" s="36" t="s">
        <v>699</v>
      </c>
      <c r="AA85" s="4"/>
      <c r="AB85" s="84"/>
      <c r="AC85" s="84"/>
      <c r="AD85" s="84"/>
      <c r="AE85" s="84"/>
      <c r="AF85" s="84"/>
      <c r="AG85" s="8"/>
      <c r="AH85" s="1" t="str">
        <f>+_xlfn.XLOOKUP(E85,'[2]Personal Finance - TB (2)'!$J:$J,'[2]Personal Finance - TB (2)'!$G:$G,"",0)</f>
        <v/>
      </c>
      <c r="AK85" s="1" t="b">
        <f>+IF(AH85=H85,TRUE,FALSE)</f>
        <v>1</v>
      </c>
      <c r="AM85" s="1" t="str">
        <f t="shared" si="67"/>
        <v>TABS.6130|DETAIL|6130::::CUSTOMER DOWNPAYMENT ACCOUNT||4||||||AC||16605||||CREDIT|||||||</v>
      </c>
    </row>
    <row r="86" spans="1:83" s="65" customFormat="1" x14ac:dyDescent="0.2">
      <c r="A86" s="70"/>
      <c r="B86" s="71" t="s">
        <v>86</v>
      </c>
      <c r="C86" s="77"/>
      <c r="D86" s="78">
        <v>5100</v>
      </c>
      <c r="E86" s="71" t="s">
        <v>201</v>
      </c>
      <c r="F86" s="71" t="s">
        <v>12</v>
      </c>
      <c r="G86" s="67" t="s">
        <v>30</v>
      </c>
      <c r="H86" s="71"/>
      <c r="I86" s="71" t="s">
        <v>94</v>
      </c>
      <c r="J86" s="71" t="str">
        <f t="shared" si="68"/>
        <v>TABS.6300</v>
      </c>
      <c r="K86" s="71" t="str">
        <f t="shared" si="69"/>
        <v>TOTAL</v>
      </c>
      <c r="L86" s="5" t="str">
        <f t="shared" si="11"/>
        <v>***::::TOT - SETTLEMENT ACCOUNTS</v>
      </c>
      <c r="M86" s="71">
        <v>4</v>
      </c>
      <c r="N86" s="71">
        <v>3</v>
      </c>
      <c r="O86" s="71"/>
      <c r="P86" s="71">
        <v>1</v>
      </c>
      <c r="Q86" s="71"/>
      <c r="R86" s="71"/>
      <c r="S86" s="71"/>
      <c r="T86" s="5"/>
      <c r="U86" s="5"/>
      <c r="V86" s="5"/>
      <c r="W86" s="71"/>
      <c r="X86" s="71"/>
      <c r="Y86" s="71"/>
      <c r="Z86" s="71"/>
      <c r="AA86" s="71"/>
      <c r="AB86" s="86"/>
      <c r="AC86" s="86"/>
      <c r="AD86" s="86"/>
      <c r="AE86" s="86"/>
      <c r="AF86" s="86"/>
      <c r="AG86" s="72"/>
      <c r="AH86" s="65" t="str">
        <f>+_xlfn.XLOOKUP(E86,'[2]Personal Finance - TB (2)'!$J:$J,'[2]Personal Finance - TB (2)'!$G:$G,"",0)</f>
        <v/>
      </c>
      <c r="AM86" s="1" t="str">
        <f t="shared" si="67"/>
        <v>TABS.6300|TOTAL|***::::TOT - SETTLEMENT ACCOUNTS|4|3||1|||||||||||||||||</v>
      </c>
      <c r="BZ86" s="75"/>
      <c r="CA86" s="75"/>
      <c r="CD86" s="75"/>
      <c r="CE86" s="75"/>
    </row>
    <row r="87" spans="1:83" s="46" customFormat="1" x14ac:dyDescent="0.2">
      <c r="A87" s="47">
        <v>3.2</v>
      </c>
      <c r="B87" s="27" t="s">
        <v>86</v>
      </c>
      <c r="C87" s="26"/>
      <c r="D87" s="27">
        <v>7000</v>
      </c>
      <c r="E87" s="27" t="s">
        <v>202</v>
      </c>
      <c r="F87" s="27" t="s">
        <v>10</v>
      </c>
      <c r="G87" s="55" t="s">
        <v>22</v>
      </c>
      <c r="H87" s="27"/>
      <c r="I87" s="63" t="s">
        <v>402</v>
      </c>
      <c r="J87" s="90" t="str">
        <f t="shared" si="68"/>
        <v>TABS.6350</v>
      </c>
      <c r="K87" s="90" t="str">
        <f t="shared" si="69"/>
        <v>HEADING</v>
      </c>
      <c r="L87" s="2" t="str">
        <f t="shared" ref="L87" si="71">+_xlfn.TEXTJOIN("::",FALSE,G87:I87)</f>
        <v>**::::API COST PAYABLE</v>
      </c>
      <c r="M87" s="26"/>
      <c r="N87" s="27"/>
      <c r="O87" s="27"/>
      <c r="P87" s="58">
        <v>1</v>
      </c>
      <c r="Q87" s="27"/>
      <c r="R87" s="27"/>
      <c r="S87" s="27"/>
      <c r="T87" s="2"/>
      <c r="U87" s="2"/>
      <c r="V87" s="2"/>
      <c r="W87" s="27"/>
      <c r="X87" s="27"/>
      <c r="Y87" s="27"/>
      <c r="Z87" s="27"/>
      <c r="AA87" s="27"/>
      <c r="AB87" s="85"/>
      <c r="AC87" s="85"/>
      <c r="AD87" s="85"/>
      <c r="AE87" s="85"/>
      <c r="AF87" s="85"/>
      <c r="AG87" s="28"/>
      <c r="AH87" s="46" t="str">
        <f>+_xlfn.XLOOKUP(E87,'[2]Personal Finance - TB (2)'!$J:$J,'[2]Personal Finance - TB (2)'!$G:$G,"",0)</f>
        <v/>
      </c>
      <c r="AM87" s="1" t="str">
        <f t="shared" si="67"/>
        <v>TABS.6350|HEADING|**::::API COST PAYABLE||||1|||||||||||||||||</v>
      </c>
      <c r="BZ87" s="79"/>
      <c r="CA87" s="79"/>
      <c r="CD87" s="79"/>
      <c r="CE87" s="79"/>
    </row>
    <row r="88" spans="1:83" x14ac:dyDescent="0.2">
      <c r="A88" s="31" t="s">
        <v>137</v>
      </c>
      <c r="B88" s="4" t="s">
        <v>86</v>
      </c>
      <c r="C88" s="6"/>
      <c r="D88" s="6"/>
      <c r="E88" s="36" t="s">
        <v>203</v>
      </c>
      <c r="F88" s="4" t="s">
        <v>11</v>
      </c>
      <c r="G88" s="53" t="str">
        <f t="shared" ref="G88:G105" si="72">+RIGHT(E88,4)</f>
        <v>6430</v>
      </c>
      <c r="H88" s="4"/>
      <c r="I88" s="25" t="s">
        <v>411</v>
      </c>
      <c r="J88" s="25" t="str">
        <f t="shared" si="68"/>
        <v>TABS.6430</v>
      </c>
      <c r="K88" s="25" t="str">
        <f t="shared" si="69"/>
        <v>DETAIL</v>
      </c>
      <c r="L88" s="4" t="str">
        <f t="shared" si="11"/>
        <v>6430::::API COST PAYABLE - ELM - YAKEEN</v>
      </c>
      <c r="M88" s="4"/>
      <c r="N88" s="4">
        <v>4</v>
      </c>
      <c r="O88" s="4"/>
      <c r="P88" s="4"/>
      <c r="Q88" s="4"/>
      <c r="R88" s="4"/>
      <c r="S88" s="4"/>
      <c r="T88" s="36" t="s">
        <v>59</v>
      </c>
      <c r="U88" s="36"/>
      <c r="V88" s="54">
        <v>17911</v>
      </c>
      <c r="W88" s="4"/>
      <c r="X88" s="4"/>
      <c r="Y88" s="4"/>
      <c r="Z88" s="36" t="s">
        <v>699</v>
      </c>
      <c r="AA88" s="4"/>
      <c r="AB88" s="84"/>
      <c r="AC88" s="84"/>
      <c r="AD88" s="84"/>
      <c r="AE88" s="84"/>
      <c r="AF88" s="84"/>
      <c r="AG88" s="8"/>
      <c r="AM88" s="1" t="str">
        <f t="shared" si="67"/>
        <v>TABS.6430|DETAIL|6430::::API COST PAYABLE - ELM - YAKEEN||4||||||AC||17911||||CREDIT|||||||</v>
      </c>
    </row>
    <row r="89" spans="1:83" x14ac:dyDescent="0.2">
      <c r="A89" s="31" t="s">
        <v>138</v>
      </c>
      <c r="B89" s="4" t="s">
        <v>86</v>
      </c>
      <c r="C89" s="6"/>
      <c r="D89" s="6"/>
      <c r="E89" s="36" t="s">
        <v>204</v>
      </c>
      <c r="F89" s="4" t="s">
        <v>11</v>
      </c>
      <c r="G89" s="53" t="str">
        <f t="shared" si="72"/>
        <v>6440</v>
      </c>
      <c r="H89" s="4"/>
      <c r="I89" s="25" t="s">
        <v>412</v>
      </c>
      <c r="J89" s="25" t="str">
        <f t="shared" si="68"/>
        <v>TABS.6440</v>
      </c>
      <c r="K89" s="25" t="str">
        <f t="shared" si="69"/>
        <v>DETAIL</v>
      </c>
      <c r="L89" s="4" t="str">
        <f t="shared" si="11"/>
        <v>6440::::API COST PAYABLE - ELM - NAFITH</v>
      </c>
      <c r="M89" s="4"/>
      <c r="N89" s="4">
        <v>4</v>
      </c>
      <c r="O89" s="4"/>
      <c r="P89" s="4"/>
      <c r="Q89" s="4"/>
      <c r="R89" s="4"/>
      <c r="S89" s="4"/>
      <c r="T89" s="36" t="s">
        <v>59</v>
      </c>
      <c r="U89" s="36"/>
      <c r="V89" s="54">
        <v>17912</v>
      </c>
      <c r="W89" s="4"/>
      <c r="X89" s="4"/>
      <c r="Y89" s="4"/>
      <c r="Z89" s="36" t="s">
        <v>699</v>
      </c>
      <c r="AA89" s="4"/>
      <c r="AB89" s="84"/>
      <c r="AC89" s="84"/>
      <c r="AD89" s="84"/>
      <c r="AE89" s="84"/>
      <c r="AF89" s="84"/>
      <c r="AG89" s="8"/>
      <c r="AM89" s="1" t="str">
        <f t="shared" si="67"/>
        <v>TABS.6440|DETAIL|6440::::API COST PAYABLE - ELM - NAFITH||4||||||AC||17912||||CREDIT|||||||</v>
      </c>
    </row>
    <row r="90" spans="1:83" x14ac:dyDescent="0.2">
      <c r="A90" s="31" t="s">
        <v>574</v>
      </c>
      <c r="B90" s="4" t="s">
        <v>86</v>
      </c>
      <c r="C90" s="6"/>
      <c r="D90" s="6"/>
      <c r="E90" s="36" t="s">
        <v>205</v>
      </c>
      <c r="F90" s="4" t="s">
        <v>11</v>
      </c>
      <c r="G90" s="53" t="str">
        <f t="shared" si="72"/>
        <v>6450</v>
      </c>
      <c r="H90" s="4"/>
      <c r="I90" s="25" t="s">
        <v>408</v>
      </c>
      <c r="J90" s="25" t="str">
        <f t="shared" si="68"/>
        <v>TABS.6450</v>
      </c>
      <c r="K90" s="25" t="str">
        <f t="shared" si="69"/>
        <v>DETAIL</v>
      </c>
      <c r="L90" s="4" t="str">
        <f t="shared" si="11"/>
        <v>6450::::API COST PAYABLE - EMDAH</v>
      </c>
      <c r="M90" s="4"/>
      <c r="N90" s="4">
        <v>4</v>
      </c>
      <c r="O90" s="4"/>
      <c r="P90" s="4"/>
      <c r="Q90" s="4"/>
      <c r="R90" s="4"/>
      <c r="S90" s="4"/>
      <c r="T90" s="36" t="s">
        <v>59</v>
      </c>
      <c r="U90" s="36"/>
      <c r="V90" s="54">
        <v>17913</v>
      </c>
      <c r="W90" s="4"/>
      <c r="X90" s="4"/>
      <c r="Y90" s="4"/>
      <c r="Z90" s="36" t="s">
        <v>699</v>
      </c>
      <c r="AA90" s="4"/>
      <c r="AB90" s="84"/>
      <c r="AC90" s="84"/>
      <c r="AD90" s="84"/>
      <c r="AE90" s="84"/>
      <c r="AF90" s="84"/>
      <c r="AG90" s="8"/>
      <c r="AM90" s="1" t="str">
        <f t="shared" si="67"/>
        <v>TABS.6450|DETAIL|6450::::API COST PAYABLE - EMDAH||4||||||AC||17913||||CREDIT|||||||</v>
      </c>
    </row>
    <row r="91" spans="1:83" x14ac:dyDescent="0.2">
      <c r="A91" s="31" t="s">
        <v>139</v>
      </c>
      <c r="B91" s="4" t="s">
        <v>86</v>
      </c>
      <c r="C91" s="6"/>
      <c r="D91" s="6"/>
      <c r="E91" s="36" t="s">
        <v>206</v>
      </c>
      <c r="F91" s="4" t="s">
        <v>11</v>
      </c>
      <c r="G91" s="53" t="str">
        <f t="shared" si="72"/>
        <v>6460</v>
      </c>
      <c r="H91" s="4"/>
      <c r="I91" s="25" t="s">
        <v>413</v>
      </c>
      <c r="J91" s="25" t="str">
        <f t="shared" si="68"/>
        <v>TABS.6460</v>
      </c>
      <c r="K91" s="25" t="str">
        <f t="shared" si="69"/>
        <v>DETAIL</v>
      </c>
      <c r="L91" s="4" t="str">
        <f t="shared" si="11"/>
        <v>6460::::API COST PAYABLE - ELM - TAHQOOQ</v>
      </c>
      <c r="M91" s="4"/>
      <c r="N91" s="4">
        <v>4</v>
      </c>
      <c r="O91" s="4"/>
      <c r="P91" s="4"/>
      <c r="Q91" s="4"/>
      <c r="R91" s="4"/>
      <c r="S91" s="4"/>
      <c r="T91" s="36" t="s">
        <v>59</v>
      </c>
      <c r="U91" s="36"/>
      <c r="V91" s="54">
        <v>17914</v>
      </c>
      <c r="W91" s="4"/>
      <c r="X91" s="4"/>
      <c r="Y91" s="4"/>
      <c r="Z91" s="36" t="s">
        <v>699</v>
      </c>
      <c r="AA91" s="4"/>
      <c r="AB91" s="84"/>
      <c r="AC91" s="84"/>
      <c r="AD91" s="84"/>
      <c r="AE91" s="84"/>
      <c r="AF91" s="84"/>
      <c r="AG91" s="8"/>
      <c r="AM91" s="1" t="str">
        <f t="shared" si="67"/>
        <v>TABS.6460|DETAIL|6460::::API COST PAYABLE - ELM - TAHQOOQ||4||||||AC||17914||||CREDIT|||||||</v>
      </c>
    </row>
    <row r="92" spans="1:83" x14ac:dyDescent="0.2">
      <c r="A92" s="31" t="s">
        <v>575</v>
      </c>
      <c r="B92" s="4" t="s">
        <v>86</v>
      </c>
      <c r="C92" s="6"/>
      <c r="D92" s="6"/>
      <c r="E92" s="36" t="s">
        <v>207</v>
      </c>
      <c r="F92" s="4" t="s">
        <v>11</v>
      </c>
      <c r="G92" s="53" t="str">
        <f t="shared" si="72"/>
        <v>6470</v>
      </c>
      <c r="H92" s="4"/>
      <c r="I92" s="25" t="s">
        <v>414</v>
      </c>
      <c r="J92" s="25" t="str">
        <f t="shared" si="68"/>
        <v>TABS.6470</v>
      </c>
      <c r="K92" s="25" t="str">
        <f t="shared" si="69"/>
        <v>DETAIL</v>
      </c>
      <c r="L92" s="4" t="str">
        <f t="shared" si="11"/>
        <v>6470::::API COST PAYABLE - UNIFONIC - IVR</v>
      </c>
      <c r="M92" s="4"/>
      <c r="N92" s="4">
        <v>4</v>
      </c>
      <c r="O92" s="4"/>
      <c r="P92" s="4"/>
      <c r="Q92" s="4"/>
      <c r="R92" s="4"/>
      <c r="S92" s="4"/>
      <c r="T92" s="36" t="s">
        <v>59</v>
      </c>
      <c r="U92" s="36"/>
      <c r="V92" s="54">
        <v>17915</v>
      </c>
      <c r="W92" s="4"/>
      <c r="X92" s="4"/>
      <c r="Y92" s="4"/>
      <c r="Z92" s="36" t="s">
        <v>699</v>
      </c>
      <c r="AA92" s="4"/>
      <c r="AB92" s="84"/>
      <c r="AC92" s="84"/>
      <c r="AD92" s="84"/>
      <c r="AE92" s="84"/>
      <c r="AF92" s="84"/>
      <c r="AG92" s="8"/>
      <c r="AM92" s="1" t="str">
        <f t="shared" si="67"/>
        <v>TABS.6470|DETAIL|6470::::API COST PAYABLE - UNIFONIC - IVR||4||||||AC||17915||||CREDIT|||||||</v>
      </c>
    </row>
    <row r="93" spans="1:83" x14ac:dyDescent="0.2">
      <c r="A93" s="31" t="s">
        <v>576</v>
      </c>
      <c r="B93" s="4" t="s">
        <v>86</v>
      </c>
      <c r="C93" s="6"/>
      <c r="D93" s="6"/>
      <c r="E93" s="36" t="s">
        <v>208</v>
      </c>
      <c r="F93" s="4" t="s">
        <v>11</v>
      </c>
      <c r="G93" s="53" t="str">
        <f t="shared" si="72"/>
        <v>6480</v>
      </c>
      <c r="H93" s="4"/>
      <c r="I93" s="25" t="s">
        <v>415</v>
      </c>
      <c r="J93" s="25" t="str">
        <f t="shared" si="68"/>
        <v>TABS.6480</v>
      </c>
      <c r="K93" s="25" t="str">
        <f t="shared" si="69"/>
        <v>DETAIL</v>
      </c>
      <c r="L93" s="4" t="str">
        <f t="shared" si="11"/>
        <v>6480::::API COST PAYABLE - UNIFONIC - SMS</v>
      </c>
      <c r="M93" s="4"/>
      <c r="N93" s="4">
        <v>4</v>
      </c>
      <c r="O93" s="4"/>
      <c r="P93" s="4"/>
      <c r="Q93" s="4"/>
      <c r="R93" s="4"/>
      <c r="S93" s="4"/>
      <c r="T93" s="36" t="s">
        <v>59</v>
      </c>
      <c r="U93" s="36"/>
      <c r="V93" s="54">
        <v>17916</v>
      </c>
      <c r="W93" s="4"/>
      <c r="X93" s="4"/>
      <c r="Y93" s="4"/>
      <c r="Z93" s="36" t="s">
        <v>699</v>
      </c>
      <c r="AA93" s="4"/>
      <c r="AB93" s="84"/>
      <c r="AC93" s="84"/>
      <c r="AD93" s="84"/>
      <c r="AE93" s="84"/>
      <c r="AF93" s="84"/>
      <c r="AG93" s="8"/>
      <c r="AM93" s="1" t="str">
        <f t="shared" si="67"/>
        <v>TABS.6480|DETAIL|6480::::API COST PAYABLE - UNIFONIC - SMS||4||||||AC||17916||||CREDIT|||||||</v>
      </c>
    </row>
    <row r="94" spans="1:83" x14ac:dyDescent="0.2">
      <c r="A94" s="31" t="s">
        <v>140</v>
      </c>
      <c r="B94" s="4" t="s">
        <v>86</v>
      </c>
      <c r="C94" s="6"/>
      <c r="D94" s="6"/>
      <c r="E94" s="36" t="s">
        <v>209</v>
      </c>
      <c r="F94" s="4" t="s">
        <v>11</v>
      </c>
      <c r="G94" s="53" t="str">
        <f t="shared" si="72"/>
        <v>6490</v>
      </c>
      <c r="H94" s="4"/>
      <c r="I94" s="25" t="s">
        <v>409</v>
      </c>
      <c r="J94" s="25" t="str">
        <f t="shared" si="68"/>
        <v>TABS.6490</v>
      </c>
      <c r="K94" s="25" t="str">
        <f t="shared" si="69"/>
        <v>DETAIL</v>
      </c>
      <c r="L94" s="4" t="str">
        <f t="shared" si="11"/>
        <v>6490::::API COST PAYABLE - TAMEENI</v>
      </c>
      <c r="M94" s="4"/>
      <c r="N94" s="4">
        <v>4</v>
      </c>
      <c r="O94" s="4"/>
      <c r="P94" s="4"/>
      <c r="Q94" s="4"/>
      <c r="R94" s="4"/>
      <c r="S94" s="4"/>
      <c r="T94" s="36" t="s">
        <v>59</v>
      </c>
      <c r="U94" s="36"/>
      <c r="V94" s="54">
        <v>17917</v>
      </c>
      <c r="W94" s="4"/>
      <c r="X94" s="4"/>
      <c r="Y94" s="4"/>
      <c r="Z94" s="36" t="s">
        <v>699</v>
      </c>
      <c r="AA94" s="4"/>
      <c r="AB94" s="84"/>
      <c r="AC94" s="84"/>
      <c r="AD94" s="84"/>
      <c r="AE94" s="84"/>
      <c r="AF94" s="84"/>
      <c r="AG94" s="8"/>
      <c r="AM94" s="1" t="str">
        <f t="shared" si="67"/>
        <v>TABS.6490|DETAIL|6490::::API COST PAYABLE - TAMEENI||4||||||AC||17917||||CREDIT|||||||</v>
      </c>
    </row>
    <row r="95" spans="1:83" x14ac:dyDescent="0.2">
      <c r="A95" s="31" t="s">
        <v>141</v>
      </c>
      <c r="B95" s="4" t="s">
        <v>86</v>
      </c>
      <c r="C95" s="6"/>
      <c r="D95" s="6"/>
      <c r="E95" s="36" t="s">
        <v>210</v>
      </c>
      <c r="F95" s="4" t="s">
        <v>11</v>
      </c>
      <c r="G95" s="53" t="str">
        <f t="shared" si="72"/>
        <v>6500</v>
      </c>
      <c r="H95" s="4"/>
      <c r="I95" s="25" t="s">
        <v>404</v>
      </c>
      <c r="J95" s="25" t="str">
        <f t="shared" si="68"/>
        <v>TABS.6500</v>
      </c>
      <c r="K95" s="25" t="str">
        <f t="shared" si="69"/>
        <v>DETAIL</v>
      </c>
      <c r="L95" s="4" t="str">
        <f t="shared" si="11"/>
        <v>6500::::API COST PAYABLE - QARAR</v>
      </c>
      <c r="M95" s="4"/>
      <c r="N95" s="4">
        <v>4</v>
      </c>
      <c r="O95" s="4"/>
      <c r="P95" s="4"/>
      <c r="Q95" s="4"/>
      <c r="R95" s="4"/>
      <c r="S95" s="4"/>
      <c r="T95" s="36" t="s">
        <v>59</v>
      </c>
      <c r="U95" s="36"/>
      <c r="V95" s="54">
        <v>17918</v>
      </c>
      <c r="W95" s="4"/>
      <c r="X95" s="4"/>
      <c r="Y95" s="4"/>
      <c r="Z95" s="36" t="s">
        <v>699</v>
      </c>
      <c r="AA95" s="4"/>
      <c r="AB95" s="84"/>
      <c r="AC95" s="84"/>
      <c r="AD95" s="84"/>
      <c r="AE95" s="84"/>
      <c r="AF95" s="84"/>
      <c r="AG95" s="8"/>
      <c r="AM95" s="1" t="str">
        <f t="shared" si="67"/>
        <v>TABS.6500|DETAIL|6500::::API COST PAYABLE - QARAR||4||||||AC||17918||||CREDIT|||||||</v>
      </c>
    </row>
    <row r="96" spans="1:83" x14ac:dyDescent="0.2">
      <c r="A96" s="31" t="s">
        <v>142</v>
      </c>
      <c r="B96" s="4" t="s">
        <v>86</v>
      </c>
      <c r="C96" s="6"/>
      <c r="D96" s="6"/>
      <c r="E96" s="36" t="s">
        <v>211</v>
      </c>
      <c r="F96" s="4" t="s">
        <v>11</v>
      </c>
      <c r="G96" s="53" t="str">
        <f t="shared" si="72"/>
        <v>6510</v>
      </c>
      <c r="H96" s="4"/>
      <c r="I96" s="25" t="s">
        <v>421</v>
      </c>
      <c r="J96" s="25" t="str">
        <f t="shared" si="68"/>
        <v>TABS.6510</v>
      </c>
      <c r="K96" s="25" t="str">
        <f t="shared" si="69"/>
        <v>DETAIL</v>
      </c>
      <c r="L96" s="4" t="str">
        <f t="shared" ref="L96:L130" si="73">+_xlfn.TEXTJOIN("::",FALSE,G96:I96)</f>
        <v>6510::::API COST PAYABLE - BENCHMARK</v>
      </c>
      <c r="M96" s="4"/>
      <c r="N96" s="4">
        <v>4</v>
      </c>
      <c r="O96" s="4"/>
      <c r="P96" s="4"/>
      <c r="Q96" s="4"/>
      <c r="R96" s="4"/>
      <c r="S96" s="4"/>
      <c r="T96" s="36" t="s">
        <v>59</v>
      </c>
      <c r="U96" s="36"/>
      <c r="V96" s="54">
        <v>17919</v>
      </c>
      <c r="W96" s="4"/>
      <c r="X96" s="4"/>
      <c r="Y96" s="4"/>
      <c r="Z96" s="36" t="s">
        <v>699</v>
      </c>
      <c r="AA96" s="4"/>
      <c r="AB96" s="84"/>
      <c r="AC96" s="84"/>
      <c r="AD96" s="84"/>
      <c r="AE96" s="84"/>
      <c r="AF96" s="84"/>
      <c r="AG96" s="8"/>
      <c r="AM96" s="1" t="str">
        <f t="shared" si="67"/>
        <v>TABS.6510|DETAIL|6510::::API COST PAYABLE - BENCHMARK||4||||||AC||17919||||CREDIT|||||||</v>
      </c>
    </row>
    <row r="97" spans="1:89" x14ac:dyDescent="0.2">
      <c r="A97" s="31" t="s">
        <v>143</v>
      </c>
      <c r="B97" s="4" t="s">
        <v>86</v>
      </c>
      <c r="C97" s="6"/>
      <c r="D97" s="6"/>
      <c r="E97" s="36" t="s">
        <v>212</v>
      </c>
      <c r="F97" s="4" t="s">
        <v>11</v>
      </c>
      <c r="G97" s="53" t="str">
        <f t="shared" si="72"/>
        <v>6520</v>
      </c>
      <c r="H97" s="4"/>
      <c r="I97" s="25" t="s">
        <v>405</v>
      </c>
      <c r="J97" s="25" t="str">
        <f t="shared" si="68"/>
        <v>TABS.6520</v>
      </c>
      <c r="K97" s="25" t="str">
        <f t="shared" si="69"/>
        <v>DETAIL</v>
      </c>
      <c r="L97" s="4" t="str">
        <f t="shared" si="73"/>
        <v>6520::::API COST PAYABLE - LEAN</v>
      </c>
      <c r="M97" s="4"/>
      <c r="N97" s="4">
        <v>4</v>
      </c>
      <c r="O97" s="4"/>
      <c r="P97" s="4"/>
      <c r="Q97" s="4"/>
      <c r="R97" s="4"/>
      <c r="S97" s="4"/>
      <c r="T97" s="36" t="s">
        <v>59</v>
      </c>
      <c r="U97" s="36"/>
      <c r="V97" s="54">
        <v>17920</v>
      </c>
      <c r="W97" s="4"/>
      <c r="X97" s="4"/>
      <c r="Y97" s="4"/>
      <c r="Z97" s="36" t="s">
        <v>699</v>
      </c>
      <c r="AA97" s="4"/>
      <c r="AB97" s="84"/>
      <c r="AC97" s="84"/>
      <c r="AD97" s="84"/>
      <c r="AE97" s="84"/>
      <c r="AF97" s="84"/>
      <c r="AG97" s="8"/>
      <c r="AM97" s="1" t="str">
        <f t="shared" si="67"/>
        <v>TABS.6520|DETAIL|6520::::API COST PAYABLE - LEAN||4||||||AC||17920||||CREDIT|||||||</v>
      </c>
    </row>
    <row r="98" spans="1:89" x14ac:dyDescent="0.2">
      <c r="A98" s="31" t="s">
        <v>144</v>
      </c>
      <c r="B98" s="4" t="s">
        <v>86</v>
      </c>
      <c r="C98" s="6"/>
      <c r="D98" s="6"/>
      <c r="E98" s="36" t="s">
        <v>213</v>
      </c>
      <c r="F98" s="4" t="s">
        <v>11</v>
      </c>
      <c r="G98" s="53" t="str">
        <f t="shared" si="72"/>
        <v>6530</v>
      </c>
      <c r="H98" s="4"/>
      <c r="I98" s="25" t="s">
        <v>420</v>
      </c>
      <c r="J98" s="25" t="str">
        <f t="shared" si="68"/>
        <v>TABS.6530</v>
      </c>
      <c r="K98" s="25" t="str">
        <f t="shared" si="69"/>
        <v>DETAIL</v>
      </c>
      <c r="L98" s="4" t="str">
        <f t="shared" si="73"/>
        <v>6530::::API COST PAYABLE - FAJR</v>
      </c>
      <c r="M98" s="4"/>
      <c r="N98" s="4">
        <v>4</v>
      </c>
      <c r="O98" s="4"/>
      <c r="P98" s="4"/>
      <c r="Q98" s="4"/>
      <c r="R98" s="4"/>
      <c r="S98" s="4"/>
      <c r="T98" s="36" t="s">
        <v>59</v>
      </c>
      <c r="U98" s="36"/>
      <c r="V98" s="54">
        <v>17921</v>
      </c>
      <c r="W98" s="4"/>
      <c r="X98" s="4"/>
      <c r="Y98" s="4"/>
      <c r="Z98" s="36" t="s">
        <v>699</v>
      </c>
      <c r="AA98" s="4"/>
      <c r="AB98" s="84"/>
      <c r="AC98" s="84"/>
      <c r="AD98" s="84"/>
      <c r="AE98" s="84"/>
      <c r="AF98" s="84"/>
      <c r="AG98" s="8"/>
      <c r="AM98" s="1" t="str">
        <f t="shared" si="67"/>
        <v>TABS.6530|DETAIL|6530::::API COST PAYABLE - FAJR||4||||||AC||17921||||CREDIT|||||||</v>
      </c>
    </row>
    <row r="99" spans="1:89" x14ac:dyDescent="0.2">
      <c r="A99" s="31" t="s">
        <v>145</v>
      </c>
      <c r="B99" s="4" t="s">
        <v>86</v>
      </c>
      <c r="C99" s="6"/>
      <c r="D99" s="6"/>
      <c r="E99" s="36" t="s">
        <v>214</v>
      </c>
      <c r="F99" s="4" t="s">
        <v>11</v>
      </c>
      <c r="G99" s="53" t="str">
        <f t="shared" si="72"/>
        <v>6540</v>
      </c>
      <c r="H99" s="4"/>
      <c r="I99" s="25" t="s">
        <v>417</v>
      </c>
      <c r="J99" s="25" t="str">
        <f t="shared" si="68"/>
        <v>TABS.6540</v>
      </c>
      <c r="K99" s="25" t="str">
        <f t="shared" si="69"/>
        <v>DETAIL</v>
      </c>
      <c r="L99" s="4" t="str">
        <f t="shared" si="73"/>
        <v>6540::::API COST PAYABLE - RESAL</v>
      </c>
      <c r="M99" s="4"/>
      <c r="N99" s="4">
        <v>4</v>
      </c>
      <c r="O99" s="4"/>
      <c r="P99" s="4"/>
      <c r="Q99" s="4"/>
      <c r="R99" s="4"/>
      <c r="S99" s="4"/>
      <c r="T99" s="36" t="s">
        <v>59</v>
      </c>
      <c r="U99" s="36"/>
      <c r="V99" s="54">
        <v>17922</v>
      </c>
      <c r="W99" s="4"/>
      <c r="X99" s="4"/>
      <c r="Y99" s="4"/>
      <c r="Z99" s="36" t="s">
        <v>699</v>
      </c>
      <c r="AA99" s="4"/>
      <c r="AB99" s="84"/>
      <c r="AC99" s="84"/>
      <c r="AD99" s="84"/>
      <c r="AE99" s="84"/>
      <c r="AF99" s="84"/>
      <c r="AG99" s="8"/>
      <c r="AM99" s="1" t="str">
        <f t="shared" si="67"/>
        <v>TABS.6540|DETAIL|6540::::API COST PAYABLE - RESAL||4||||||AC||17922||||CREDIT|||||||</v>
      </c>
    </row>
    <row r="100" spans="1:89" x14ac:dyDescent="0.2">
      <c r="A100" s="31" t="s">
        <v>146</v>
      </c>
      <c r="B100" s="4" t="s">
        <v>86</v>
      </c>
      <c r="C100" s="6"/>
      <c r="D100" s="6"/>
      <c r="E100" s="36" t="s">
        <v>215</v>
      </c>
      <c r="F100" s="4" t="s">
        <v>11</v>
      </c>
      <c r="G100" s="53" t="str">
        <f t="shared" si="72"/>
        <v>6550</v>
      </c>
      <c r="H100" s="4"/>
      <c r="I100" s="25" t="s">
        <v>410</v>
      </c>
      <c r="J100" s="25" t="str">
        <f t="shared" si="68"/>
        <v>TABS.6550</v>
      </c>
      <c r="K100" s="25" t="str">
        <f t="shared" si="69"/>
        <v>DETAIL</v>
      </c>
      <c r="L100" s="4" t="str">
        <f t="shared" si="73"/>
        <v>6550::::API COST PAYABLE - TAWTHEEQ</v>
      </c>
      <c r="M100" s="4"/>
      <c r="N100" s="4">
        <v>4</v>
      </c>
      <c r="O100" s="4"/>
      <c r="P100" s="4"/>
      <c r="Q100" s="4"/>
      <c r="R100" s="4"/>
      <c r="S100" s="4"/>
      <c r="T100" s="36" t="s">
        <v>59</v>
      </c>
      <c r="U100" s="36"/>
      <c r="V100" s="54">
        <v>17923</v>
      </c>
      <c r="W100" s="4"/>
      <c r="X100" s="4"/>
      <c r="Y100" s="4"/>
      <c r="Z100" s="36" t="s">
        <v>699</v>
      </c>
      <c r="AA100" s="4"/>
      <c r="AB100" s="84"/>
      <c r="AC100" s="84"/>
      <c r="AD100" s="84"/>
      <c r="AE100" s="84"/>
      <c r="AF100" s="84"/>
      <c r="AG100" s="8"/>
      <c r="AM100" s="1" t="str">
        <f t="shared" si="67"/>
        <v>TABS.6550|DETAIL|6550::::API COST PAYABLE - TAWTHEEQ||4||||||AC||17923||||CREDIT|||||||</v>
      </c>
    </row>
    <row r="101" spans="1:89" x14ac:dyDescent="0.2">
      <c r="A101" s="31" t="s">
        <v>147</v>
      </c>
      <c r="B101" s="4" t="s">
        <v>86</v>
      </c>
      <c r="C101" s="6"/>
      <c r="D101" s="6"/>
      <c r="E101" s="36" t="s">
        <v>216</v>
      </c>
      <c r="F101" s="4" t="s">
        <v>11</v>
      </c>
      <c r="G101" s="53" t="str">
        <f t="shared" si="72"/>
        <v>6560</v>
      </c>
      <c r="H101" s="4"/>
      <c r="I101" s="25" t="s">
        <v>406</v>
      </c>
      <c r="J101" s="25" t="str">
        <f t="shared" si="68"/>
        <v>TABS.6560</v>
      </c>
      <c r="K101" s="25" t="str">
        <f t="shared" si="69"/>
        <v>DETAIL</v>
      </c>
      <c r="L101" s="4" t="str">
        <f t="shared" si="73"/>
        <v>6560::::API COST PAYABLE - SAP</v>
      </c>
      <c r="M101" s="4"/>
      <c r="N101" s="4">
        <v>4</v>
      </c>
      <c r="O101" s="4"/>
      <c r="P101" s="4"/>
      <c r="Q101" s="4"/>
      <c r="R101" s="4"/>
      <c r="S101" s="4"/>
      <c r="T101" s="36" t="s">
        <v>59</v>
      </c>
      <c r="U101" s="36"/>
      <c r="V101" s="54">
        <v>17924</v>
      </c>
      <c r="W101" s="4"/>
      <c r="X101" s="4"/>
      <c r="Y101" s="4"/>
      <c r="Z101" s="36" t="s">
        <v>699</v>
      </c>
      <c r="AA101" s="4"/>
      <c r="AB101" s="84"/>
      <c r="AC101" s="84"/>
      <c r="AD101" s="84"/>
      <c r="AE101" s="84"/>
      <c r="AF101" s="84"/>
      <c r="AG101" s="8"/>
      <c r="AM101" s="1" t="str">
        <f t="shared" si="67"/>
        <v>TABS.6560|DETAIL|6560::::API COST PAYABLE - SAP||4||||||AC||17924||||CREDIT|||||||</v>
      </c>
    </row>
    <row r="102" spans="1:89" x14ac:dyDescent="0.2">
      <c r="A102" s="31" t="s">
        <v>148</v>
      </c>
      <c r="B102" s="4" t="s">
        <v>86</v>
      </c>
      <c r="C102" s="6"/>
      <c r="D102" s="6"/>
      <c r="E102" s="36" t="s">
        <v>217</v>
      </c>
      <c r="F102" s="4" t="s">
        <v>11</v>
      </c>
      <c r="G102" s="53" t="str">
        <f t="shared" si="72"/>
        <v>6570</v>
      </c>
      <c r="H102" s="4"/>
      <c r="I102" s="25" t="s">
        <v>418</v>
      </c>
      <c r="J102" s="25" t="str">
        <f t="shared" si="68"/>
        <v>TABS.6570</v>
      </c>
      <c r="K102" s="25" t="str">
        <f t="shared" si="69"/>
        <v>DETAIL</v>
      </c>
      <c r="L102" s="4" t="str">
        <f t="shared" si="73"/>
        <v>6570::::API COST PAYABLE - SIMAH - UPLOAD</v>
      </c>
      <c r="M102" s="4"/>
      <c r="N102" s="4">
        <v>4</v>
      </c>
      <c r="O102" s="4"/>
      <c r="P102" s="4"/>
      <c r="Q102" s="4"/>
      <c r="R102" s="4"/>
      <c r="S102" s="4"/>
      <c r="T102" s="36" t="s">
        <v>59</v>
      </c>
      <c r="U102" s="36"/>
      <c r="V102" s="54">
        <v>17906</v>
      </c>
      <c r="W102" s="4"/>
      <c r="X102" s="4"/>
      <c r="Y102" s="4"/>
      <c r="Z102" s="36" t="s">
        <v>699</v>
      </c>
      <c r="AA102" s="4"/>
      <c r="AB102" s="84"/>
      <c r="AC102" s="84"/>
      <c r="AD102" s="84"/>
      <c r="AE102" s="84"/>
      <c r="AF102" s="84"/>
      <c r="AG102" s="8"/>
      <c r="AM102" s="1" t="str">
        <f t="shared" si="67"/>
        <v>TABS.6570|DETAIL|6570::::API COST PAYABLE - SIMAH - UPLOAD||4||||||AC||17906||||CREDIT|||||||</v>
      </c>
    </row>
    <row r="103" spans="1:89" x14ac:dyDescent="0.2">
      <c r="A103" s="31" t="s">
        <v>149</v>
      </c>
      <c r="B103" s="4" t="s">
        <v>86</v>
      </c>
      <c r="C103" s="6"/>
      <c r="D103" s="6"/>
      <c r="E103" s="36" t="s">
        <v>218</v>
      </c>
      <c r="F103" s="4" t="s">
        <v>11</v>
      </c>
      <c r="G103" s="53" t="str">
        <f t="shared" si="72"/>
        <v>6580</v>
      </c>
      <c r="H103" s="4"/>
      <c r="I103" s="25" t="s">
        <v>419</v>
      </c>
      <c r="J103" s="25" t="str">
        <f t="shared" si="68"/>
        <v>TABS.6580</v>
      </c>
      <c r="K103" s="25" t="str">
        <f t="shared" si="69"/>
        <v>DETAIL</v>
      </c>
      <c r="L103" s="4" t="str">
        <f t="shared" si="73"/>
        <v>6580::::API COST PAYABLE - SIMAH - DOWNLOAD</v>
      </c>
      <c r="M103" s="4"/>
      <c r="N103" s="4">
        <v>4</v>
      </c>
      <c r="O103" s="4"/>
      <c r="P103" s="4"/>
      <c r="Q103" s="4"/>
      <c r="R103" s="4"/>
      <c r="S103" s="4"/>
      <c r="T103" s="36" t="s">
        <v>59</v>
      </c>
      <c r="U103" s="36"/>
      <c r="V103" s="54">
        <v>17907</v>
      </c>
      <c r="W103" s="4"/>
      <c r="X103" s="4"/>
      <c r="Y103" s="4"/>
      <c r="Z103" s="36" t="s">
        <v>699</v>
      </c>
      <c r="AA103" s="4"/>
      <c r="AB103" s="84"/>
      <c r="AC103" s="84"/>
      <c r="AD103" s="84"/>
      <c r="AE103" s="84"/>
      <c r="AF103" s="84"/>
      <c r="AG103" s="8"/>
      <c r="AM103" s="1" t="str">
        <f t="shared" si="67"/>
        <v>TABS.6580|DETAIL|6580::::API COST PAYABLE - SIMAH - DOWNLOAD||4||||||AC||17907||||CREDIT|||||||</v>
      </c>
    </row>
    <row r="104" spans="1:89" x14ac:dyDescent="0.2">
      <c r="A104" s="31" t="s">
        <v>150</v>
      </c>
      <c r="B104" s="4" t="s">
        <v>86</v>
      </c>
      <c r="C104" s="6"/>
      <c r="D104" s="6"/>
      <c r="E104" s="36" t="s">
        <v>219</v>
      </c>
      <c r="F104" s="4" t="s">
        <v>11</v>
      </c>
      <c r="G104" s="53" t="str">
        <f t="shared" si="72"/>
        <v>6590</v>
      </c>
      <c r="H104" s="4"/>
      <c r="I104" s="25" t="s">
        <v>416</v>
      </c>
      <c r="J104" s="25" t="str">
        <f t="shared" si="68"/>
        <v>TABS.6590</v>
      </c>
      <c r="K104" s="25" t="str">
        <f t="shared" si="69"/>
        <v>DETAIL</v>
      </c>
      <c r="L104" s="4" t="str">
        <f t="shared" si="73"/>
        <v>6590::::API COST PAYABLE - ROSOM</v>
      </c>
      <c r="M104" s="4"/>
      <c r="N104" s="4">
        <v>4</v>
      </c>
      <c r="O104" s="4"/>
      <c r="P104" s="4"/>
      <c r="Q104" s="4"/>
      <c r="R104" s="4"/>
      <c r="S104" s="4"/>
      <c r="T104" s="36" t="s">
        <v>59</v>
      </c>
      <c r="U104" s="36"/>
      <c r="V104" s="54">
        <v>17908</v>
      </c>
      <c r="W104" s="4"/>
      <c r="X104" s="4"/>
      <c r="Y104" s="4"/>
      <c r="Z104" s="36" t="s">
        <v>699</v>
      </c>
      <c r="AA104" s="4"/>
      <c r="AB104" s="84"/>
      <c r="AC104" s="84"/>
      <c r="AD104" s="84"/>
      <c r="AE104" s="84"/>
      <c r="AF104" s="84"/>
      <c r="AG104" s="8"/>
      <c r="AM104" s="1" t="str">
        <f t="shared" si="67"/>
        <v>TABS.6590|DETAIL|6590::::API COST PAYABLE - ROSOM||4||||||AC||17908||||CREDIT|||||||</v>
      </c>
    </row>
    <row r="105" spans="1:89" x14ac:dyDescent="0.2">
      <c r="A105" s="31" t="s">
        <v>151</v>
      </c>
      <c r="B105" s="4" t="s">
        <v>86</v>
      </c>
      <c r="C105" s="6"/>
      <c r="D105" s="6"/>
      <c r="E105" s="36" t="s">
        <v>220</v>
      </c>
      <c r="F105" s="4" t="s">
        <v>11</v>
      </c>
      <c r="G105" s="53" t="str">
        <f t="shared" si="72"/>
        <v>6600</v>
      </c>
      <c r="H105" s="4"/>
      <c r="I105" s="25" t="s">
        <v>407</v>
      </c>
      <c r="J105" s="25" t="str">
        <f t="shared" si="68"/>
        <v>TABS.6600</v>
      </c>
      <c r="K105" s="25" t="str">
        <f t="shared" si="69"/>
        <v>DETAIL</v>
      </c>
      <c r="L105" s="4" t="str">
        <f t="shared" si="73"/>
        <v>6600::::API COST PAYABLE - NAFITH</v>
      </c>
      <c r="M105" s="4"/>
      <c r="N105" s="4">
        <v>4</v>
      </c>
      <c r="O105" s="4"/>
      <c r="P105" s="4"/>
      <c r="Q105" s="4"/>
      <c r="R105" s="4"/>
      <c r="S105" s="4"/>
      <c r="T105" s="36" t="s">
        <v>59</v>
      </c>
      <c r="U105" s="36"/>
      <c r="V105" s="54">
        <v>17909</v>
      </c>
      <c r="W105" s="4"/>
      <c r="X105" s="4"/>
      <c r="Y105" s="4"/>
      <c r="Z105" s="36" t="s">
        <v>699</v>
      </c>
      <c r="AA105" s="4"/>
      <c r="AB105" s="84"/>
      <c r="AC105" s="84"/>
      <c r="AD105" s="84"/>
      <c r="AE105" s="84"/>
      <c r="AF105" s="84"/>
      <c r="AG105" s="8"/>
      <c r="AM105" s="1" t="str">
        <f t="shared" si="67"/>
        <v>TABS.6600|DETAIL|6600::::API COST PAYABLE - NAFITH||4||||||AC||17909||||CREDIT|||||||</v>
      </c>
    </row>
    <row r="106" spans="1:89" s="65" customFormat="1" x14ac:dyDescent="0.2">
      <c r="A106" s="70"/>
      <c r="B106" s="71" t="s">
        <v>86</v>
      </c>
      <c r="C106" s="77"/>
      <c r="D106" s="78">
        <v>7200</v>
      </c>
      <c r="E106" s="71" t="s">
        <v>221</v>
      </c>
      <c r="F106" s="71" t="s">
        <v>12</v>
      </c>
      <c r="G106" s="67" t="s">
        <v>30</v>
      </c>
      <c r="H106" s="71"/>
      <c r="I106" s="71" t="s">
        <v>403</v>
      </c>
      <c r="J106" s="71" t="str">
        <f t="shared" si="68"/>
        <v>TABS.7500</v>
      </c>
      <c r="K106" s="71" t="str">
        <f t="shared" si="69"/>
        <v>TOTAL</v>
      </c>
      <c r="L106" s="5" t="str">
        <f t="shared" si="73"/>
        <v>***::::TOT - API COST PAYABLE</v>
      </c>
      <c r="M106" s="71">
        <v>4</v>
      </c>
      <c r="N106" s="71">
        <v>3</v>
      </c>
      <c r="O106" s="71"/>
      <c r="P106" s="71">
        <v>1</v>
      </c>
      <c r="Q106" s="71"/>
      <c r="R106" s="71"/>
      <c r="S106" s="71"/>
      <c r="T106" s="5"/>
      <c r="U106" s="5"/>
      <c r="V106" s="5"/>
      <c r="W106" s="71"/>
      <c r="X106" s="71"/>
      <c r="Y106" s="71"/>
      <c r="Z106" s="71"/>
      <c r="AA106" s="71"/>
      <c r="AB106" s="86"/>
      <c r="AC106" s="86"/>
      <c r="AD106" s="86"/>
      <c r="AE106" s="86"/>
      <c r="AF106" s="86"/>
      <c r="AG106" s="72"/>
      <c r="AH106" s="65" t="str">
        <f>+_xlfn.XLOOKUP(E106,'[2]Personal Finance - TB (2)'!$J:$J,'[2]Personal Finance - TB (2)'!$G:$G,"",0)</f>
        <v/>
      </c>
      <c r="AM106" s="1" t="str">
        <f t="shared" si="67"/>
        <v>TABS.7500|TOTAL|***::::TOT - API COST PAYABLE|4|3||1|||||||||||||||||</v>
      </c>
      <c r="BZ106" s="75"/>
      <c r="CA106" s="75"/>
      <c r="CD106" s="75"/>
      <c r="CE106" s="75"/>
    </row>
    <row r="107" spans="1:89" s="46" customFormat="1" x14ac:dyDescent="0.2">
      <c r="A107" s="43">
        <v>3.3</v>
      </c>
      <c r="B107" s="2" t="s">
        <v>86</v>
      </c>
      <c r="C107" s="3"/>
      <c r="D107" s="2">
        <v>7500</v>
      </c>
      <c r="E107" s="2" t="s">
        <v>222</v>
      </c>
      <c r="F107" s="2" t="s">
        <v>10</v>
      </c>
      <c r="G107" s="55" t="s">
        <v>22</v>
      </c>
      <c r="H107" s="2"/>
      <c r="I107" s="61" t="s">
        <v>454</v>
      </c>
      <c r="J107" s="87" t="str">
        <f t="shared" si="68"/>
        <v>TABS.7550</v>
      </c>
      <c r="K107" s="87" t="str">
        <f t="shared" si="69"/>
        <v>HEADING</v>
      </c>
      <c r="L107" s="2" t="str">
        <f t="shared" si="73"/>
        <v>**::::UNEARNED ADMIN FEE</v>
      </c>
      <c r="M107" s="3"/>
      <c r="N107" s="2"/>
      <c r="O107" s="2"/>
      <c r="P107" s="58">
        <v>1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81"/>
      <c r="AC107" s="81"/>
      <c r="AD107" s="81"/>
      <c r="AE107" s="81"/>
      <c r="AF107" s="81"/>
      <c r="AG107" s="7"/>
      <c r="AH107" s="46" t="str">
        <f>+_xlfn.XLOOKUP(E107,'[2]Personal Finance - TB (2)'!$J:$J,'[2]Personal Finance - TB (2)'!$G:$G,"",0)</f>
        <v/>
      </c>
      <c r="AM107" s="1" t="str">
        <f t="shared" si="67"/>
        <v>TABS.7550|HEADING|**::::UNEARNED ADMIN FEE||||1|||||||||||||||||</v>
      </c>
      <c r="BZ107" s="79"/>
      <c r="CA107" s="79"/>
      <c r="CD107" s="79"/>
      <c r="CE107" s="79"/>
    </row>
    <row r="108" spans="1:89" s="41" customFormat="1" x14ac:dyDescent="0.2">
      <c r="A108" s="35" t="s">
        <v>152</v>
      </c>
      <c r="B108" s="36" t="s">
        <v>86</v>
      </c>
      <c r="C108" s="37"/>
      <c r="D108" s="37"/>
      <c r="E108" s="36" t="s">
        <v>223</v>
      </c>
      <c r="F108" s="4" t="s">
        <v>11</v>
      </c>
      <c r="G108" s="54" t="str">
        <f>RIGHT(E108,4)</f>
        <v>7560</v>
      </c>
      <c r="H108" s="36"/>
      <c r="I108" s="36" t="s">
        <v>442</v>
      </c>
      <c r="J108" s="36" t="str">
        <f t="shared" si="68"/>
        <v>TABS.7560</v>
      </c>
      <c r="K108" s="36" t="str">
        <f t="shared" si="69"/>
        <v>DETAIL</v>
      </c>
      <c r="L108" s="4" t="str">
        <f t="shared" si="73"/>
        <v>7560::::UNEARNED ADMIN FEE - TAWARUQ</v>
      </c>
      <c r="M108" s="37"/>
      <c r="N108" s="36">
        <v>4</v>
      </c>
      <c r="O108" s="36"/>
      <c r="P108" s="36"/>
      <c r="Q108" s="36"/>
      <c r="R108" s="36"/>
      <c r="S108" s="36"/>
      <c r="T108" s="36" t="s">
        <v>59</v>
      </c>
      <c r="U108" s="36"/>
      <c r="V108" s="54">
        <v>3114</v>
      </c>
      <c r="W108" s="36"/>
      <c r="X108" s="36"/>
      <c r="Y108" s="36"/>
      <c r="Z108" s="36" t="s">
        <v>445</v>
      </c>
      <c r="AA108" s="36"/>
      <c r="AB108" s="82"/>
      <c r="AC108" s="82"/>
      <c r="AD108" s="82"/>
      <c r="AE108" s="82"/>
      <c r="AF108" s="82"/>
      <c r="AG108" s="40"/>
      <c r="AM108" s="1" t="str">
        <f t="shared" si="67"/>
        <v>TABS.7560|DETAIL|7560::::UNEARNED ADMIN FEE - TAWARUQ||4||||||AC||3114||||ACCADMINFEEUP|||||||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22"/>
      <c r="CA108" s="22"/>
      <c r="CB108" s="1"/>
      <c r="CC108" s="1"/>
      <c r="CD108" s="22"/>
      <c r="CE108" s="22"/>
      <c r="CF108" s="1"/>
      <c r="CG108" s="1"/>
      <c r="CH108" s="1"/>
      <c r="CI108" s="1"/>
      <c r="CJ108" s="1"/>
      <c r="CK108" s="1"/>
    </row>
    <row r="109" spans="1:89" s="41" customFormat="1" x14ac:dyDescent="0.2">
      <c r="A109" s="35" t="s">
        <v>153</v>
      </c>
      <c r="B109" s="36" t="s">
        <v>86</v>
      </c>
      <c r="C109" s="37"/>
      <c r="D109" s="37"/>
      <c r="E109" s="36" t="s">
        <v>224</v>
      </c>
      <c r="F109" s="4" t="s">
        <v>11</v>
      </c>
      <c r="G109" s="54" t="str">
        <f t="shared" ref="G109:G110" si="74">RIGHT(E109,4)</f>
        <v>7570</v>
      </c>
      <c r="H109" s="36"/>
      <c r="I109" s="36" t="s">
        <v>443</v>
      </c>
      <c r="J109" s="36" t="str">
        <f t="shared" si="68"/>
        <v>TABS.7570</v>
      </c>
      <c r="K109" s="36" t="str">
        <f t="shared" si="69"/>
        <v>DETAIL</v>
      </c>
      <c r="L109" s="4" t="str">
        <f t="shared" si="73"/>
        <v>7570::::UNEARNED ADMIN FEE - IJARAH</v>
      </c>
      <c r="M109" s="37"/>
      <c r="N109" s="36">
        <v>4</v>
      </c>
      <c r="O109" s="36"/>
      <c r="P109" s="36"/>
      <c r="Q109" s="36"/>
      <c r="R109" s="36"/>
      <c r="S109" s="36"/>
      <c r="T109" s="36" t="s">
        <v>59</v>
      </c>
      <c r="U109" s="36"/>
      <c r="V109" s="54">
        <v>3116</v>
      </c>
      <c r="W109" s="36"/>
      <c r="X109" s="36"/>
      <c r="Y109" s="36"/>
      <c r="Z109" s="36" t="s">
        <v>445</v>
      </c>
      <c r="AA109" s="36"/>
      <c r="AB109" s="82"/>
      <c r="AC109" s="82"/>
      <c r="AD109" s="82"/>
      <c r="AE109" s="82"/>
      <c r="AF109" s="82"/>
      <c r="AG109" s="40"/>
      <c r="AM109" s="1" t="str">
        <f t="shared" si="67"/>
        <v>TABS.7570|DETAIL|7570::::UNEARNED ADMIN FEE - IJARAH||4||||||AC||3116||||ACCADMINFEEUP|||||||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22"/>
      <c r="CA109" s="22"/>
      <c r="CB109" s="1"/>
      <c r="CC109" s="1"/>
      <c r="CD109" s="22"/>
      <c r="CE109" s="22"/>
      <c r="CF109" s="1"/>
      <c r="CG109" s="1"/>
      <c r="CH109" s="1"/>
      <c r="CI109" s="1"/>
      <c r="CJ109" s="1"/>
      <c r="CK109" s="1"/>
    </row>
    <row r="110" spans="1:89" s="41" customFormat="1" x14ac:dyDescent="0.2">
      <c r="A110" s="35" t="s">
        <v>154</v>
      </c>
      <c r="B110" s="36" t="s">
        <v>86</v>
      </c>
      <c r="C110" s="37"/>
      <c r="D110" s="37"/>
      <c r="E110" s="36" t="s">
        <v>225</v>
      </c>
      <c r="F110" s="4" t="s">
        <v>11</v>
      </c>
      <c r="G110" s="54" t="str">
        <f t="shared" si="74"/>
        <v>7580</v>
      </c>
      <c r="H110" s="36"/>
      <c r="I110" s="36" t="s">
        <v>444</v>
      </c>
      <c r="J110" s="36" t="str">
        <f t="shared" si="68"/>
        <v>TABS.7580</v>
      </c>
      <c r="K110" s="36" t="str">
        <f t="shared" si="69"/>
        <v>DETAIL</v>
      </c>
      <c r="L110" s="4" t="str">
        <f t="shared" si="73"/>
        <v>7580::::UNEARNED ADMIN FEE - MURABAHA</v>
      </c>
      <c r="M110" s="37"/>
      <c r="N110" s="36">
        <v>4</v>
      </c>
      <c r="O110" s="36"/>
      <c r="P110" s="36"/>
      <c r="Q110" s="36"/>
      <c r="R110" s="36"/>
      <c r="S110" s="36"/>
      <c r="T110" s="36" t="s">
        <v>59</v>
      </c>
      <c r="U110" s="36"/>
      <c r="V110" s="54">
        <v>3115</v>
      </c>
      <c r="W110" s="36"/>
      <c r="X110" s="36"/>
      <c r="Y110" s="36"/>
      <c r="Z110" s="36" t="s">
        <v>445</v>
      </c>
      <c r="AA110" s="36"/>
      <c r="AB110" s="82"/>
      <c r="AC110" s="82"/>
      <c r="AD110" s="82"/>
      <c r="AE110" s="82"/>
      <c r="AF110" s="82"/>
      <c r="AG110" s="40"/>
      <c r="AM110" s="1" t="str">
        <f t="shared" si="67"/>
        <v>TABS.7580|DETAIL|7580::::UNEARNED ADMIN FEE - MURABAHA||4||||||AC||3115||||ACCADMINFEEUP|||||||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22"/>
      <c r="CA110" s="22"/>
      <c r="CB110" s="1"/>
      <c r="CC110" s="1"/>
      <c r="CD110" s="22"/>
      <c r="CE110" s="22"/>
      <c r="CF110" s="1"/>
      <c r="CG110" s="1"/>
      <c r="CH110" s="1"/>
      <c r="CI110" s="1"/>
      <c r="CJ110" s="1"/>
      <c r="CK110" s="1"/>
    </row>
    <row r="111" spans="1:89" s="65" customFormat="1" x14ac:dyDescent="0.2">
      <c r="A111" s="66"/>
      <c r="B111" s="5" t="s">
        <v>86</v>
      </c>
      <c r="C111" s="16"/>
      <c r="D111" s="16">
        <v>7501</v>
      </c>
      <c r="E111" s="5" t="s">
        <v>226</v>
      </c>
      <c r="F111" s="5" t="s">
        <v>12</v>
      </c>
      <c r="G111" s="67" t="s">
        <v>30</v>
      </c>
      <c r="H111" s="5"/>
      <c r="I111" s="5" t="s">
        <v>455</v>
      </c>
      <c r="J111" s="5" t="str">
        <f t="shared" si="68"/>
        <v>TABS.7640</v>
      </c>
      <c r="K111" s="5" t="str">
        <f t="shared" si="69"/>
        <v>TOTAL</v>
      </c>
      <c r="L111" s="5" t="str">
        <f t="shared" si="73"/>
        <v>***::::TOT- UNEARNED ADMIN FEE</v>
      </c>
      <c r="M111" s="5">
        <v>4</v>
      </c>
      <c r="N111" s="5">
        <v>3</v>
      </c>
      <c r="O111" s="5"/>
      <c r="P111" s="71">
        <v>1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83"/>
      <c r="AC111" s="83"/>
      <c r="AD111" s="83"/>
      <c r="AE111" s="83"/>
      <c r="AF111" s="83"/>
      <c r="AG111" s="9"/>
      <c r="AH111" s="65" t="str">
        <f>+_xlfn.XLOOKUP(E111,'[2]Personal Finance - TB (2)'!$J:$J,'[2]Personal Finance - TB (2)'!$G:$G,"",0)</f>
        <v/>
      </c>
      <c r="AK111" s="65" t="b">
        <f>+IF(AH111=H111,TRUE,FALSE)</f>
        <v>1</v>
      </c>
      <c r="AM111" s="1" t="str">
        <f t="shared" si="67"/>
        <v>TABS.7640|TOTAL|***::::TOT- UNEARNED ADMIN FEE|4|3||1|||||||||||||||||</v>
      </c>
      <c r="BZ111" s="75"/>
      <c r="CA111" s="75"/>
      <c r="CC111" s="65" t="s">
        <v>102</v>
      </c>
      <c r="CD111" s="75"/>
      <c r="CE111" s="75"/>
    </row>
    <row r="112" spans="1:89" s="46" customFormat="1" x14ac:dyDescent="0.2">
      <c r="A112" s="47">
        <v>3.4</v>
      </c>
      <c r="B112" s="2" t="s">
        <v>86</v>
      </c>
      <c r="C112" s="26"/>
      <c r="D112" s="26"/>
      <c r="E112" s="2" t="s">
        <v>634</v>
      </c>
      <c r="F112" s="27" t="s">
        <v>10</v>
      </c>
      <c r="G112" s="55" t="s">
        <v>22</v>
      </c>
      <c r="H112" s="27"/>
      <c r="I112" s="63" t="s">
        <v>244</v>
      </c>
      <c r="J112" s="90" t="str">
        <f t="shared" si="68"/>
        <v>TABS.7700</v>
      </c>
      <c r="K112" s="90" t="str">
        <f t="shared" si="69"/>
        <v>HEADING</v>
      </c>
      <c r="L112" s="2" t="str">
        <f t="shared" ref="L112:L115" si="75">+_xlfn.TEXTJOIN("::",FALSE,G112:I112)</f>
        <v>**::::DISCOUNT FROM VENDOR</v>
      </c>
      <c r="M112" s="26"/>
      <c r="N112" s="27"/>
      <c r="O112" s="27"/>
      <c r="P112" s="58">
        <v>1</v>
      </c>
      <c r="Q112" s="27"/>
      <c r="R112" s="27"/>
      <c r="S112" s="27"/>
      <c r="T112" s="2"/>
      <c r="U112" s="2"/>
      <c r="V112" s="2"/>
      <c r="W112" s="27"/>
      <c r="X112" s="27"/>
      <c r="Y112" s="27"/>
      <c r="Z112" s="27"/>
      <c r="AA112" s="27"/>
      <c r="AB112" s="85"/>
      <c r="AC112" s="85"/>
      <c r="AD112" s="85"/>
      <c r="AE112" s="85"/>
      <c r="AF112" s="85"/>
      <c r="AG112" s="28"/>
      <c r="AM112" s="1" t="str">
        <f t="shared" si="67"/>
        <v>TABS.7700|HEADING|**::::DISCOUNT FROM VENDOR||||1|||||||||||||||||</v>
      </c>
      <c r="BZ112" s="79"/>
      <c r="CA112" s="79"/>
      <c r="CD112" s="79"/>
      <c r="CE112" s="79"/>
    </row>
    <row r="113" spans="1:83" x14ac:dyDescent="0.2">
      <c r="A113" s="31" t="s">
        <v>236</v>
      </c>
      <c r="B113" s="4" t="s">
        <v>86</v>
      </c>
      <c r="C113" s="6"/>
      <c r="D113" s="6"/>
      <c r="E113" s="36" t="s">
        <v>635</v>
      </c>
      <c r="F113" s="4" t="s">
        <v>11</v>
      </c>
      <c r="G113" s="53" t="str">
        <f>RIGHT(E113,4)</f>
        <v>7710</v>
      </c>
      <c r="H113" s="4"/>
      <c r="I113" s="25" t="s">
        <v>456</v>
      </c>
      <c r="J113" s="25" t="str">
        <f t="shared" si="68"/>
        <v>TABS.7710</v>
      </c>
      <c r="K113" s="25" t="str">
        <f t="shared" si="69"/>
        <v>DETAIL</v>
      </c>
      <c r="L113" s="4" t="str">
        <f t="shared" si="75"/>
        <v>7710::::DISCOUNT FROM VENDOR - IJARAH</v>
      </c>
      <c r="M113" s="4"/>
      <c r="N113" s="4">
        <v>4</v>
      </c>
      <c r="O113" s="4"/>
      <c r="P113" s="4"/>
      <c r="Q113" s="4"/>
      <c r="R113" s="4"/>
      <c r="S113" s="4"/>
      <c r="T113" s="36" t="s">
        <v>59</v>
      </c>
      <c r="U113" s="36"/>
      <c r="V113" s="54">
        <v>3116</v>
      </c>
      <c r="W113" s="4"/>
      <c r="X113" s="4"/>
      <c r="Y113" s="4"/>
      <c r="Z113" s="36" t="s">
        <v>458</v>
      </c>
      <c r="AA113" s="4"/>
      <c r="AB113" s="84"/>
      <c r="AC113" s="84"/>
      <c r="AD113" s="84"/>
      <c r="AE113" s="84"/>
      <c r="AF113" s="84"/>
      <c r="AG113" s="8"/>
      <c r="AM113" s="1" t="str">
        <f t="shared" si="67"/>
        <v>TABS.7710|DETAIL|7710::::DISCOUNT FROM VENDOR - IJARAH||4||||||AC||3116||||ACCVENDISCOUNT|||||||</v>
      </c>
    </row>
    <row r="114" spans="1:83" x14ac:dyDescent="0.2">
      <c r="A114" s="31" t="s">
        <v>577</v>
      </c>
      <c r="B114" s="4" t="s">
        <v>86</v>
      </c>
      <c r="C114" s="6"/>
      <c r="D114" s="6"/>
      <c r="E114" s="36" t="s">
        <v>636</v>
      </c>
      <c r="F114" s="4" t="s">
        <v>11</v>
      </c>
      <c r="G114" s="53" t="str">
        <f>RIGHT(E114,4)</f>
        <v>7720</v>
      </c>
      <c r="H114" s="4"/>
      <c r="I114" s="25" t="s">
        <v>457</v>
      </c>
      <c r="J114" s="25" t="str">
        <f t="shared" si="68"/>
        <v>TABS.7720</v>
      </c>
      <c r="K114" s="25" t="str">
        <f t="shared" si="69"/>
        <v>DETAIL</v>
      </c>
      <c r="L114" s="4" t="str">
        <f t="shared" ref="L114" si="76">+_xlfn.TEXTJOIN("::",FALSE,G114:I114)</f>
        <v>7720::::DISCOUNT FROM VENDOR - MURABAHA</v>
      </c>
      <c r="M114" s="4"/>
      <c r="N114" s="4">
        <v>4</v>
      </c>
      <c r="O114" s="4"/>
      <c r="P114" s="4"/>
      <c r="Q114" s="4"/>
      <c r="R114" s="4"/>
      <c r="S114" s="4"/>
      <c r="T114" s="36" t="s">
        <v>59</v>
      </c>
      <c r="U114" s="36"/>
      <c r="V114" s="54">
        <v>3115</v>
      </c>
      <c r="W114" s="4"/>
      <c r="X114" s="4"/>
      <c r="Y114" s="4"/>
      <c r="Z114" s="36" t="s">
        <v>458</v>
      </c>
      <c r="AA114" s="4"/>
      <c r="AB114" s="84"/>
      <c r="AC114" s="84"/>
      <c r="AD114" s="84"/>
      <c r="AE114" s="84"/>
      <c r="AF114" s="84"/>
      <c r="AG114" s="8"/>
      <c r="AM114" s="1" t="str">
        <f t="shared" si="67"/>
        <v>TABS.7720|DETAIL|7720::::DISCOUNT FROM VENDOR - MURABAHA||4||||||AC||3115||||ACCVENDISCOUNT|||||||</v>
      </c>
    </row>
    <row r="115" spans="1:83" s="65" customFormat="1" x14ac:dyDescent="0.2">
      <c r="A115" s="66"/>
      <c r="B115" s="5" t="s">
        <v>86</v>
      </c>
      <c r="C115" s="16"/>
      <c r="D115" s="16"/>
      <c r="E115" s="5" t="s">
        <v>637</v>
      </c>
      <c r="F115" s="5" t="s">
        <v>12</v>
      </c>
      <c r="G115" s="67" t="s">
        <v>30</v>
      </c>
      <c r="H115" s="5"/>
      <c r="I115" s="69" t="s">
        <v>477</v>
      </c>
      <c r="J115" s="69" t="str">
        <f t="shared" si="68"/>
        <v>TABS.7800</v>
      </c>
      <c r="K115" s="69" t="str">
        <f t="shared" si="69"/>
        <v>TOTAL</v>
      </c>
      <c r="L115" s="5" t="str">
        <f t="shared" si="75"/>
        <v>***::::TOT - DISCOUNT FROM VENDOR</v>
      </c>
      <c r="M115" s="5">
        <v>4</v>
      </c>
      <c r="N115" s="5">
        <v>3</v>
      </c>
      <c r="O115" s="5"/>
      <c r="P115" s="71">
        <v>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83"/>
      <c r="AC115" s="83"/>
      <c r="AD115" s="83"/>
      <c r="AE115" s="83"/>
      <c r="AF115" s="83"/>
      <c r="AG115" s="9"/>
      <c r="AM115" s="1" t="str">
        <f t="shared" si="67"/>
        <v>TABS.7800|TOTAL|***::::TOT - DISCOUNT FROM VENDOR|4|3||1|||||||||||||||||</v>
      </c>
      <c r="BZ115" s="75"/>
      <c r="CA115" s="75"/>
      <c r="CD115" s="75"/>
      <c r="CE115" s="75"/>
    </row>
    <row r="116" spans="1:83" s="46" customFormat="1" x14ac:dyDescent="0.2">
      <c r="A116" s="47">
        <v>3.5</v>
      </c>
      <c r="B116" s="2" t="s">
        <v>86</v>
      </c>
      <c r="C116" s="26"/>
      <c r="D116" s="26"/>
      <c r="E116" s="2" t="s">
        <v>227</v>
      </c>
      <c r="F116" s="27" t="s">
        <v>10</v>
      </c>
      <c r="G116" s="55" t="s">
        <v>22</v>
      </c>
      <c r="H116" s="27"/>
      <c r="I116" s="63" t="s">
        <v>125</v>
      </c>
      <c r="J116" s="90" t="str">
        <f t="shared" si="68"/>
        <v>TABS.7900</v>
      </c>
      <c r="K116" s="90" t="str">
        <f t="shared" si="69"/>
        <v>HEADING</v>
      </c>
      <c r="L116" s="2" t="str">
        <f t="shared" si="73"/>
        <v>**::::VAT PAYABLE</v>
      </c>
      <c r="M116" s="26"/>
      <c r="N116" s="27"/>
      <c r="O116" s="27"/>
      <c r="P116" s="58">
        <v>1</v>
      </c>
      <c r="Q116" s="27"/>
      <c r="R116" s="27"/>
      <c r="S116" s="27"/>
      <c r="T116" s="2"/>
      <c r="U116" s="2"/>
      <c r="V116" s="2"/>
      <c r="W116" s="27"/>
      <c r="X116" s="27"/>
      <c r="Y116" s="27"/>
      <c r="Z116" s="27"/>
      <c r="AA116" s="27"/>
      <c r="AB116" s="85"/>
      <c r="AC116" s="85"/>
      <c r="AD116" s="85"/>
      <c r="AE116" s="85"/>
      <c r="AF116" s="85"/>
      <c r="AG116" s="28"/>
      <c r="AM116" s="1" t="str">
        <f t="shared" si="67"/>
        <v>TABS.7900|HEADING|**::::VAT PAYABLE||||1|||||||||||||||||</v>
      </c>
      <c r="BZ116" s="79"/>
      <c r="CA116" s="79"/>
      <c r="CD116" s="79"/>
      <c r="CE116" s="79"/>
    </row>
    <row r="117" spans="1:83" x14ac:dyDescent="0.2">
      <c r="A117" s="31" t="s">
        <v>578</v>
      </c>
      <c r="B117" s="4" t="s">
        <v>86</v>
      </c>
      <c r="C117" s="6"/>
      <c r="D117" s="6"/>
      <c r="E117" s="36" t="s">
        <v>228</v>
      </c>
      <c r="F117" s="4" t="s">
        <v>11</v>
      </c>
      <c r="G117" s="53" t="str">
        <f>RIGHT(E117,4)</f>
        <v>7910</v>
      </c>
      <c r="H117" s="4"/>
      <c r="I117" s="25" t="s">
        <v>125</v>
      </c>
      <c r="J117" s="25" t="str">
        <f t="shared" si="68"/>
        <v>TABS.7910</v>
      </c>
      <c r="K117" s="25" t="str">
        <f t="shared" si="69"/>
        <v>DETAIL</v>
      </c>
      <c r="L117" s="4" t="str">
        <f t="shared" si="73"/>
        <v>7910::::VAT PAYABLE</v>
      </c>
      <c r="M117" s="4"/>
      <c r="N117" s="4">
        <v>4</v>
      </c>
      <c r="O117" s="4"/>
      <c r="P117" s="4"/>
      <c r="Q117" s="4"/>
      <c r="R117" s="4"/>
      <c r="S117" s="4"/>
      <c r="T117" s="36" t="s">
        <v>59</v>
      </c>
      <c r="U117" s="36"/>
      <c r="V117" s="54">
        <v>17215</v>
      </c>
      <c r="W117" s="4"/>
      <c r="X117" s="4"/>
      <c r="Y117" s="4"/>
      <c r="Z117" s="36" t="s">
        <v>699</v>
      </c>
      <c r="AA117" s="4"/>
      <c r="AB117" s="84"/>
      <c r="AC117" s="84"/>
      <c r="AD117" s="84"/>
      <c r="AE117" s="84"/>
      <c r="AF117" s="84"/>
      <c r="AG117" s="8"/>
      <c r="AM117" s="1" t="str">
        <f t="shared" si="67"/>
        <v>TABS.7910|DETAIL|7910::::VAT PAYABLE||4||||||AC||17215||||CREDIT|||||||</v>
      </c>
    </row>
    <row r="118" spans="1:83" s="65" customFormat="1" x14ac:dyDescent="0.2">
      <c r="A118" s="66"/>
      <c r="B118" s="5" t="s">
        <v>86</v>
      </c>
      <c r="C118" s="16"/>
      <c r="D118" s="16"/>
      <c r="E118" s="5" t="s">
        <v>229</v>
      </c>
      <c r="F118" s="5" t="s">
        <v>12</v>
      </c>
      <c r="G118" s="67" t="s">
        <v>30</v>
      </c>
      <c r="H118" s="5"/>
      <c r="I118" s="69" t="s">
        <v>476</v>
      </c>
      <c r="J118" s="69" t="str">
        <f t="shared" si="68"/>
        <v>TABS.7980</v>
      </c>
      <c r="K118" s="69" t="str">
        <f t="shared" si="69"/>
        <v>TOTAL</v>
      </c>
      <c r="L118" s="5" t="str">
        <f t="shared" si="73"/>
        <v>***::::TOT- VAT PAYBALE</v>
      </c>
      <c r="M118" s="5">
        <v>4</v>
      </c>
      <c r="N118" s="5">
        <v>3</v>
      </c>
      <c r="O118" s="5"/>
      <c r="P118" s="71">
        <v>1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83"/>
      <c r="AC118" s="83"/>
      <c r="AD118" s="83"/>
      <c r="AE118" s="83"/>
      <c r="AF118" s="83"/>
      <c r="AG118" s="9"/>
      <c r="AM118" s="1" t="str">
        <f t="shared" si="67"/>
        <v>TABS.7980|TOTAL|***::::TOT- VAT PAYBALE|4|3||1|||||||||||||||||</v>
      </c>
      <c r="BZ118" s="75"/>
      <c r="CA118" s="75"/>
      <c r="CD118" s="75"/>
      <c r="CE118" s="75"/>
    </row>
    <row r="119" spans="1:83" s="46" customFormat="1" x14ac:dyDescent="0.2">
      <c r="A119" s="47">
        <v>3.6</v>
      </c>
      <c r="B119" s="27" t="s">
        <v>86</v>
      </c>
      <c r="C119" s="26"/>
      <c r="D119" s="27">
        <v>7000</v>
      </c>
      <c r="E119" s="27" t="s">
        <v>625</v>
      </c>
      <c r="F119" s="27" t="s">
        <v>10</v>
      </c>
      <c r="G119" s="55" t="s">
        <v>22</v>
      </c>
      <c r="H119" s="27"/>
      <c r="I119" s="63" t="s">
        <v>19</v>
      </c>
      <c r="J119" s="90" t="str">
        <f t="shared" si="68"/>
        <v>TABS.8000</v>
      </c>
      <c r="K119" s="90" t="str">
        <f t="shared" si="69"/>
        <v>HEADING</v>
      </c>
      <c r="L119" s="2" t="str">
        <f t="shared" si="73"/>
        <v>**::::OTHER LIABILITIES</v>
      </c>
      <c r="M119" s="26"/>
      <c r="N119" s="27"/>
      <c r="O119" s="27"/>
      <c r="P119" s="58">
        <v>1</v>
      </c>
      <c r="Q119" s="27"/>
      <c r="R119" s="27"/>
      <c r="S119" s="27"/>
      <c r="T119" s="2"/>
      <c r="U119" s="2"/>
      <c r="V119" s="2"/>
      <c r="W119" s="27"/>
      <c r="X119" s="27"/>
      <c r="Y119" s="27"/>
      <c r="Z119" s="27"/>
      <c r="AA119" s="27"/>
      <c r="AB119" s="85"/>
      <c r="AC119" s="85"/>
      <c r="AD119" s="85"/>
      <c r="AE119" s="85"/>
      <c r="AF119" s="85"/>
      <c r="AG119" s="28"/>
      <c r="AH119" s="46" t="str">
        <f>+_xlfn.XLOOKUP(E119,'[2]Personal Finance - TB (2)'!$J:$J,'[2]Personal Finance - TB (2)'!$G:$G,"",0)</f>
        <v/>
      </c>
      <c r="AM119" s="1" t="str">
        <f t="shared" si="67"/>
        <v>TABS.8000|HEADING|**::::OTHER LIABILITIES||||1|||||||||||||||||</v>
      </c>
      <c r="BZ119" s="79"/>
      <c r="CA119" s="79"/>
      <c r="CD119" s="79"/>
      <c r="CE119" s="79"/>
    </row>
    <row r="120" spans="1:83" s="29" customFormat="1" x14ac:dyDescent="0.2">
      <c r="A120" s="21" t="s">
        <v>579</v>
      </c>
      <c r="B120" s="4" t="s">
        <v>86</v>
      </c>
      <c r="C120" s="4"/>
      <c r="D120" s="4">
        <v>7001</v>
      </c>
      <c r="E120" s="36" t="s">
        <v>626</v>
      </c>
      <c r="F120" s="4" t="s">
        <v>11</v>
      </c>
      <c r="G120" s="53" t="str">
        <f>+RIGHT(E120,4)</f>
        <v>8010</v>
      </c>
      <c r="H120" s="4"/>
      <c r="I120" s="4" t="s">
        <v>55</v>
      </c>
      <c r="J120" s="4" t="str">
        <f t="shared" si="68"/>
        <v>TABS.8010</v>
      </c>
      <c r="K120" s="4" t="str">
        <f t="shared" si="69"/>
        <v>DETAIL</v>
      </c>
      <c r="L120" s="4" t="str">
        <f t="shared" si="73"/>
        <v>8010::::PURCHASE ORDER</v>
      </c>
      <c r="M120" s="4"/>
      <c r="N120" s="4">
        <v>4</v>
      </c>
      <c r="O120" s="4"/>
      <c r="P120" s="4"/>
      <c r="Q120" s="4"/>
      <c r="R120" s="4"/>
      <c r="S120" s="4"/>
      <c r="T120" s="36" t="s">
        <v>59</v>
      </c>
      <c r="U120" s="36"/>
      <c r="V120" s="54">
        <v>16602</v>
      </c>
      <c r="W120" s="4"/>
      <c r="X120" s="4"/>
      <c r="Y120" s="4"/>
      <c r="Z120" s="4" t="s">
        <v>699</v>
      </c>
      <c r="AA120" s="4"/>
      <c r="AB120" s="4"/>
      <c r="AC120" s="4"/>
      <c r="AD120" s="4"/>
      <c r="AE120" s="4"/>
      <c r="AF120" s="4"/>
      <c r="AG120" s="4"/>
      <c r="AH120" s="29" t="str">
        <f>+_xlfn.XLOOKUP(E120,'[2]Personal Finance - TB (2)'!$J:$J,'[2]Personal Finance - TB (2)'!$G:$G,"",0)</f>
        <v/>
      </c>
      <c r="AK120" s="29" t="b">
        <f>+IF(AH120=H120,TRUE,FALSE)</f>
        <v>1</v>
      </c>
      <c r="AM120" s="1" t="str">
        <f t="shared" si="67"/>
        <v>TABS.8010|DETAIL|8010::::PURCHASE ORDER||4||||||AC||16602||||CREDIT|||||||</v>
      </c>
      <c r="BZ120" s="73"/>
      <c r="CA120" s="73"/>
      <c r="CD120" s="73"/>
      <c r="CE120" s="73"/>
    </row>
    <row r="121" spans="1:83" x14ac:dyDescent="0.2">
      <c r="A121" s="21" t="s">
        <v>580</v>
      </c>
      <c r="B121" s="4" t="s">
        <v>86</v>
      </c>
      <c r="C121" s="6"/>
      <c r="D121" s="6">
        <v>7002</v>
      </c>
      <c r="E121" s="36" t="s">
        <v>627</v>
      </c>
      <c r="F121" s="4" t="s">
        <v>11</v>
      </c>
      <c r="G121" s="53" t="str">
        <f t="shared" ref="G121:G126" si="77">+RIGHT(E121,4)</f>
        <v>8020</v>
      </c>
      <c r="H121" s="4"/>
      <c r="I121" s="25" t="s">
        <v>473</v>
      </c>
      <c r="J121" s="25" t="str">
        <f t="shared" si="68"/>
        <v>TABS.8020</v>
      </c>
      <c r="K121" s="25" t="str">
        <f t="shared" si="69"/>
        <v>DETAIL</v>
      </c>
      <c r="L121" s="4" t="str">
        <f t="shared" si="73"/>
        <v>8020::::VENDOR PAYABLE</v>
      </c>
      <c r="M121" s="4"/>
      <c r="N121" s="4">
        <v>4</v>
      </c>
      <c r="O121" s="4"/>
      <c r="P121" s="4"/>
      <c r="Q121" s="4"/>
      <c r="R121" s="4"/>
      <c r="S121" s="4"/>
      <c r="T121" s="4" t="s">
        <v>59</v>
      </c>
      <c r="U121" s="4"/>
      <c r="V121" s="53">
        <v>16604</v>
      </c>
      <c r="W121" s="4"/>
      <c r="X121" s="4"/>
      <c r="Y121" s="4"/>
      <c r="Z121" s="4" t="s">
        <v>699</v>
      </c>
      <c r="AA121" s="4"/>
      <c r="AB121" s="84"/>
      <c r="AC121" s="84"/>
      <c r="AD121" s="84"/>
      <c r="AE121" s="84"/>
      <c r="AF121" s="84"/>
      <c r="AG121" s="8"/>
      <c r="AH121" s="1" t="str">
        <f>+_xlfn.XLOOKUP(E121,'[2]Personal Finance - TB (2)'!$J:$J,'[2]Personal Finance - TB (2)'!$G:$G,"",0)</f>
        <v/>
      </c>
      <c r="AK121" s="1" t="b">
        <f>+IF(AH121=H121,TRUE,FALSE)</f>
        <v>1</v>
      </c>
      <c r="AM121" s="1" t="str">
        <f t="shared" si="67"/>
        <v>TABS.8020|DETAIL|8020::::VENDOR PAYABLE||4||||||AC||16604||||CREDIT|||||||</v>
      </c>
    </row>
    <row r="122" spans="1:83" x14ac:dyDescent="0.2">
      <c r="A122" s="21" t="s">
        <v>581</v>
      </c>
      <c r="B122" s="4" t="s">
        <v>86</v>
      </c>
      <c r="C122" s="6"/>
      <c r="D122" s="6">
        <v>7004</v>
      </c>
      <c r="E122" s="36" t="s">
        <v>628</v>
      </c>
      <c r="F122" s="4" t="s">
        <v>11</v>
      </c>
      <c r="G122" s="53" t="str">
        <f t="shared" si="77"/>
        <v>8030</v>
      </c>
      <c r="H122" s="4"/>
      <c r="I122" s="25" t="s">
        <v>56</v>
      </c>
      <c r="J122" s="25" t="str">
        <f t="shared" si="68"/>
        <v>TABS.8030</v>
      </c>
      <c r="K122" s="25" t="str">
        <f t="shared" si="69"/>
        <v>DETAIL</v>
      </c>
      <c r="L122" s="4" t="str">
        <f t="shared" si="73"/>
        <v>8030::::BROKERAGE FEE PAYABLE</v>
      </c>
      <c r="M122" s="4"/>
      <c r="N122" s="4">
        <v>4</v>
      </c>
      <c r="O122" s="4"/>
      <c r="P122" s="4"/>
      <c r="Q122" s="4"/>
      <c r="R122" s="4"/>
      <c r="S122" s="4"/>
      <c r="T122" s="4" t="s">
        <v>59</v>
      </c>
      <c r="U122" s="4"/>
      <c r="V122" s="53">
        <v>16620</v>
      </c>
      <c r="W122" s="4"/>
      <c r="X122" s="4"/>
      <c r="Y122" s="4"/>
      <c r="Z122" s="4" t="s">
        <v>699</v>
      </c>
      <c r="AA122" s="4"/>
      <c r="AB122" s="84"/>
      <c r="AC122" s="84"/>
      <c r="AD122" s="84"/>
      <c r="AE122" s="84"/>
      <c r="AF122" s="84"/>
      <c r="AG122" s="8"/>
      <c r="AH122" s="1" t="str">
        <f>+_xlfn.XLOOKUP(E122,'[2]Personal Finance - TB (2)'!$J:$J,'[2]Personal Finance - TB (2)'!$G:$G,"",0)</f>
        <v/>
      </c>
      <c r="AK122" s="1" t="b">
        <f>+IF(AH122=H122,TRUE,FALSE)</f>
        <v>1</v>
      </c>
      <c r="AM122" s="1" t="str">
        <f t="shared" si="67"/>
        <v>TABS.8030|DETAIL|8030::::BROKERAGE FEE PAYABLE||4||||||AC||16620||||CREDIT|||||||</v>
      </c>
    </row>
    <row r="123" spans="1:83" x14ac:dyDescent="0.2">
      <c r="A123" s="21" t="s">
        <v>582</v>
      </c>
      <c r="B123" s="4" t="s">
        <v>86</v>
      </c>
      <c r="C123" s="6"/>
      <c r="D123" s="6"/>
      <c r="E123" s="36" t="s">
        <v>629</v>
      </c>
      <c r="F123" s="4" t="s">
        <v>11</v>
      </c>
      <c r="G123" s="53" t="str">
        <f t="shared" si="77"/>
        <v>8040</v>
      </c>
      <c r="H123" s="4"/>
      <c r="I123" s="25" t="s">
        <v>128</v>
      </c>
      <c r="J123" s="25" t="str">
        <f t="shared" si="68"/>
        <v>TABS.8040</v>
      </c>
      <c r="K123" s="25" t="str">
        <f t="shared" si="69"/>
        <v>DETAIL</v>
      </c>
      <c r="L123" s="4" t="str">
        <f t="shared" si="73"/>
        <v>8040::::RUSOOM PAYABLE</v>
      </c>
      <c r="M123" s="4"/>
      <c r="N123" s="4">
        <v>4</v>
      </c>
      <c r="O123" s="4"/>
      <c r="P123" s="4"/>
      <c r="Q123" s="4"/>
      <c r="R123" s="4"/>
      <c r="S123" s="4"/>
      <c r="T123" s="4" t="s">
        <v>59</v>
      </c>
      <c r="U123" s="4"/>
      <c r="V123" s="53">
        <v>17910</v>
      </c>
      <c r="W123" s="4"/>
      <c r="X123" s="4"/>
      <c r="Y123" s="4"/>
      <c r="Z123" s="4" t="s">
        <v>699</v>
      </c>
      <c r="AA123" s="4"/>
      <c r="AB123" s="84"/>
      <c r="AC123" s="84"/>
      <c r="AD123" s="84"/>
      <c r="AE123" s="84"/>
      <c r="AF123" s="84"/>
      <c r="AG123" s="8"/>
      <c r="AM123" s="1" t="str">
        <f t="shared" si="67"/>
        <v>TABS.8040|DETAIL|8040::::RUSOOM PAYABLE||4||||||AC||17910||||CREDIT|||||||</v>
      </c>
    </row>
    <row r="124" spans="1:83" x14ac:dyDescent="0.2">
      <c r="A124" s="21" t="s">
        <v>583</v>
      </c>
      <c r="B124" s="4" t="s">
        <v>86</v>
      </c>
      <c r="C124" s="6"/>
      <c r="D124" s="6"/>
      <c r="E124" s="36" t="s">
        <v>630</v>
      </c>
      <c r="F124" s="4" t="s">
        <v>11</v>
      </c>
      <c r="G124" s="53" t="str">
        <f t="shared" si="77"/>
        <v>8050</v>
      </c>
      <c r="H124" s="4"/>
      <c r="I124" s="25" t="s">
        <v>401</v>
      </c>
      <c r="J124" s="25" t="str">
        <f t="shared" si="68"/>
        <v>TABS.8050</v>
      </c>
      <c r="K124" s="25" t="str">
        <f t="shared" si="69"/>
        <v>DETAIL</v>
      </c>
      <c r="L124" s="4" t="str">
        <f t="shared" si="73"/>
        <v>8050::::SADAD PAYABLE</v>
      </c>
      <c r="M124" s="4"/>
      <c r="N124" s="4">
        <v>4</v>
      </c>
      <c r="O124" s="4"/>
      <c r="P124" s="4"/>
      <c r="Q124" s="4"/>
      <c r="R124" s="4"/>
      <c r="S124" s="4"/>
      <c r="T124" s="4" t="s">
        <v>59</v>
      </c>
      <c r="U124" s="4"/>
      <c r="V124" s="53">
        <v>17256</v>
      </c>
      <c r="W124" s="4"/>
      <c r="X124" s="4"/>
      <c r="Y124" s="4"/>
      <c r="Z124" s="4" t="s">
        <v>699</v>
      </c>
      <c r="AA124" s="4"/>
      <c r="AB124" s="84"/>
      <c r="AC124" s="84"/>
      <c r="AD124" s="84"/>
      <c r="AE124" s="84"/>
      <c r="AF124" s="84"/>
      <c r="AG124" s="8"/>
      <c r="AM124" s="1" t="str">
        <f t="shared" si="67"/>
        <v>TABS.8050|DETAIL|8050::::SADAD PAYABLE||4||||||AC||17256||||CREDIT|||||||</v>
      </c>
    </row>
    <row r="125" spans="1:83" x14ac:dyDescent="0.2">
      <c r="A125" s="21" t="s">
        <v>584</v>
      </c>
      <c r="B125" s="4" t="s">
        <v>86</v>
      </c>
      <c r="C125" s="6"/>
      <c r="D125" s="6"/>
      <c r="E125" s="36" t="s">
        <v>631</v>
      </c>
      <c r="F125" s="4" t="s">
        <v>11</v>
      </c>
      <c r="G125" s="53" t="str">
        <f t="shared" si="77"/>
        <v>8060</v>
      </c>
      <c r="H125" s="4"/>
      <c r="I125" s="25" t="s">
        <v>474</v>
      </c>
      <c r="J125" s="25" t="str">
        <f t="shared" si="68"/>
        <v>TABS.8060</v>
      </c>
      <c r="K125" s="25" t="str">
        <f t="shared" si="69"/>
        <v>DETAIL</v>
      </c>
      <c r="L125" s="4" t="str">
        <f t="shared" si="73"/>
        <v>8060::::TAKAFUL CLAIM PAYABLE - ASSETS</v>
      </c>
      <c r="M125" s="4"/>
      <c r="N125" s="4">
        <v>4</v>
      </c>
      <c r="O125" s="4"/>
      <c r="P125" s="4"/>
      <c r="Q125" s="4"/>
      <c r="R125" s="4"/>
      <c r="S125" s="4"/>
      <c r="T125" s="4" t="s">
        <v>59</v>
      </c>
      <c r="U125" s="4"/>
      <c r="V125" s="53">
        <v>17904</v>
      </c>
      <c r="W125" s="4"/>
      <c r="X125" s="4"/>
      <c r="Y125" s="4"/>
      <c r="Z125" s="4" t="s">
        <v>699</v>
      </c>
      <c r="AA125" s="4"/>
      <c r="AB125" s="84"/>
      <c r="AC125" s="84"/>
      <c r="AD125" s="84"/>
      <c r="AE125" s="84"/>
      <c r="AF125" s="84"/>
      <c r="AG125" s="8"/>
      <c r="AM125" s="1" t="str">
        <f t="shared" si="67"/>
        <v>TABS.8060|DETAIL|8060::::TAKAFUL CLAIM PAYABLE - ASSETS||4||||||AC||17904||||CREDIT|||||||</v>
      </c>
    </row>
    <row r="126" spans="1:83" x14ac:dyDescent="0.2">
      <c r="A126" s="21" t="s">
        <v>585</v>
      </c>
      <c r="B126" s="4" t="s">
        <v>86</v>
      </c>
      <c r="C126" s="6"/>
      <c r="D126" s="6"/>
      <c r="E126" s="36" t="s">
        <v>632</v>
      </c>
      <c r="F126" s="4" t="s">
        <v>11</v>
      </c>
      <c r="G126" s="53" t="str">
        <f t="shared" si="77"/>
        <v>8070</v>
      </c>
      <c r="H126" s="4"/>
      <c r="I126" s="25" t="s">
        <v>475</v>
      </c>
      <c r="J126" s="25" t="str">
        <f t="shared" si="68"/>
        <v>TABS.8070</v>
      </c>
      <c r="K126" s="25" t="str">
        <f t="shared" si="69"/>
        <v>DETAIL</v>
      </c>
      <c r="L126" s="4" t="str">
        <f t="shared" si="73"/>
        <v>8070::::TAKAFUL CLAIM PAYABLE - LIFE</v>
      </c>
      <c r="M126" s="4"/>
      <c r="N126" s="4">
        <v>4</v>
      </c>
      <c r="O126" s="4"/>
      <c r="P126" s="4"/>
      <c r="Q126" s="4"/>
      <c r="R126" s="4"/>
      <c r="S126" s="4"/>
      <c r="T126" s="4" t="s">
        <v>59</v>
      </c>
      <c r="U126" s="4"/>
      <c r="V126" s="53">
        <v>17905</v>
      </c>
      <c r="W126" s="4"/>
      <c r="X126" s="4"/>
      <c r="Y126" s="4"/>
      <c r="Z126" s="4" t="s">
        <v>699</v>
      </c>
      <c r="AA126" s="4"/>
      <c r="AB126" s="84"/>
      <c r="AC126" s="84"/>
      <c r="AD126" s="84"/>
      <c r="AE126" s="84"/>
      <c r="AF126" s="84"/>
      <c r="AG126" s="8"/>
      <c r="AM126" s="1" t="str">
        <f t="shared" si="67"/>
        <v>TABS.8070|DETAIL|8070::::TAKAFUL CLAIM PAYABLE - LIFE||4||||||AC||17905||||CREDIT|||||||</v>
      </c>
    </row>
    <row r="127" spans="1:83" s="98" customFormat="1" x14ac:dyDescent="0.2">
      <c r="A127" s="100" t="s">
        <v>585</v>
      </c>
      <c r="B127" s="92" t="s">
        <v>86</v>
      </c>
      <c r="C127" s="93"/>
      <c r="D127" s="93"/>
      <c r="E127" s="92" t="s">
        <v>716</v>
      </c>
      <c r="F127" s="92" t="s">
        <v>11</v>
      </c>
      <c r="G127" s="94" t="str">
        <f t="shared" ref="G127" si="78">+RIGHT(E127,4)</f>
        <v>8080</v>
      </c>
      <c r="H127" s="92"/>
      <c r="I127" s="95" t="s">
        <v>717</v>
      </c>
      <c r="J127" s="95" t="str">
        <f t="shared" ref="J127" si="79">+E127</f>
        <v>TABS.8080</v>
      </c>
      <c r="K127" s="95" t="str">
        <f t="shared" ref="K127" si="80">+F127</f>
        <v>DETAIL</v>
      </c>
      <c r="L127" s="92" t="str">
        <f t="shared" ref="L127" si="81">+_xlfn.TEXTJOIN("::",FALSE,G127:I127)</f>
        <v>8080::::REBATE PAYABLE</v>
      </c>
      <c r="M127" s="92"/>
      <c r="N127" s="92">
        <v>4</v>
      </c>
      <c r="O127" s="92"/>
      <c r="P127" s="92"/>
      <c r="Q127" s="92"/>
      <c r="R127" s="92"/>
      <c r="S127" s="92"/>
      <c r="T127" s="92" t="s">
        <v>718</v>
      </c>
      <c r="U127" s="92"/>
      <c r="V127" s="94" t="s">
        <v>719</v>
      </c>
      <c r="W127" s="92"/>
      <c r="X127" s="92"/>
      <c r="Y127" s="92"/>
      <c r="Z127" s="92" t="s">
        <v>720</v>
      </c>
      <c r="AA127" s="92"/>
      <c r="AB127" s="96"/>
      <c r="AC127" s="96"/>
      <c r="AD127" s="96"/>
      <c r="AE127" s="96"/>
      <c r="AF127" s="96"/>
      <c r="AG127" s="97"/>
      <c r="AM127" s="98" t="str">
        <f t="shared" ref="AM127" si="82">+_xlfn.TEXTJOIN("|",FALSE,J127:AG127)</f>
        <v>TABS.8080|DETAIL|8080::::REBATE PAYABLE||4||||||AC::AC::AC||3114::3115::3116||||PAYISBONUS::PAYISBONUS::PAYISBONUS|||||||</v>
      </c>
      <c r="BZ127" s="99"/>
      <c r="CA127" s="99"/>
      <c r="CD127" s="99"/>
      <c r="CE127" s="99"/>
    </row>
    <row r="128" spans="1:83" s="98" customFormat="1" x14ac:dyDescent="0.2">
      <c r="A128" s="100" t="s">
        <v>585</v>
      </c>
      <c r="B128" s="92" t="s">
        <v>86</v>
      </c>
      <c r="C128" s="93"/>
      <c r="D128" s="93"/>
      <c r="E128" s="92" t="s">
        <v>725</v>
      </c>
      <c r="F128" s="92" t="s">
        <v>11</v>
      </c>
      <c r="G128" s="94">
        <v>8090</v>
      </c>
      <c r="H128" s="92"/>
      <c r="I128" s="95" t="s">
        <v>726</v>
      </c>
      <c r="J128" s="95" t="str">
        <f t="shared" ref="J128" si="83">+E128</f>
        <v>TABS.8090</v>
      </c>
      <c r="K128" s="95" t="str">
        <f t="shared" ref="K128" si="84">+F128</f>
        <v>DETAIL</v>
      </c>
      <c r="L128" s="92" t="str">
        <f t="shared" ref="L128" si="85">+_xlfn.TEXTJOIN("::",FALSE,G128:I128)</f>
        <v>8090::::CASHBACK TO CUSTOMER</v>
      </c>
      <c r="M128" s="92"/>
      <c r="N128" s="92">
        <v>4</v>
      </c>
      <c r="O128" s="92"/>
      <c r="P128" s="92"/>
      <c r="Q128" s="92"/>
      <c r="R128" s="92"/>
      <c r="S128" s="92"/>
      <c r="T128" s="92" t="s">
        <v>59</v>
      </c>
      <c r="U128" s="92"/>
      <c r="V128" s="94">
        <v>3114</v>
      </c>
      <c r="W128" s="92"/>
      <c r="X128" s="92"/>
      <c r="Y128" s="92"/>
      <c r="Z128" s="92" t="s">
        <v>727</v>
      </c>
      <c r="AA128" s="92"/>
      <c r="AB128" s="96"/>
      <c r="AC128" s="96"/>
      <c r="AD128" s="96"/>
      <c r="AE128" s="96"/>
      <c r="AF128" s="96"/>
      <c r="AG128" s="97"/>
      <c r="AM128" s="98" t="str">
        <f t="shared" ref="AM128" si="86">+_xlfn.TEXTJOIN("|",FALSE,J128:AG128)</f>
        <v>TABS.8090|DETAIL|8090::::CASHBACK TO CUSTOMER||4||||||AC||3114||||PAYCASHBACK|||||||</v>
      </c>
      <c r="BZ128" s="99"/>
      <c r="CA128" s="99"/>
      <c r="CD128" s="99"/>
      <c r="CE128" s="99"/>
    </row>
    <row r="129" spans="1:89" s="98" customFormat="1" x14ac:dyDescent="0.2">
      <c r="A129" s="100" t="s">
        <v>585</v>
      </c>
      <c r="B129" s="92" t="s">
        <v>86</v>
      </c>
      <c r="C129" s="93"/>
      <c r="D129" s="93"/>
      <c r="E129" s="36" t="str">
        <f t="shared" ref="E129" si="87">_xlfn.CONCAT($B$1,G129)</f>
        <v>TABS.8095</v>
      </c>
      <c r="F129" s="92" t="s">
        <v>11</v>
      </c>
      <c r="G129" s="94">
        <v>8095</v>
      </c>
      <c r="H129" s="92"/>
      <c r="I129" s="95" t="s">
        <v>743</v>
      </c>
      <c r="J129" s="95" t="str">
        <f t="shared" ref="J129" si="88">+E129</f>
        <v>TABS.8095</v>
      </c>
      <c r="K129" s="95" t="str">
        <f t="shared" ref="K129" si="89">+F129</f>
        <v>DETAIL</v>
      </c>
      <c r="L129" s="92" t="str">
        <f t="shared" ref="L129" si="90">+_xlfn.TEXTJOIN("::",FALSE,G129:I129)</f>
        <v>8095::::DISCOUNT ON INSTALLMENT PAYABLE</v>
      </c>
      <c r="M129" s="92"/>
      <c r="N129" s="92">
        <v>4</v>
      </c>
      <c r="O129" s="92"/>
      <c r="P129" s="92"/>
      <c r="Q129" s="92"/>
      <c r="R129" s="92"/>
      <c r="S129" s="92"/>
      <c r="T129" s="92" t="s">
        <v>59</v>
      </c>
      <c r="U129" s="92"/>
      <c r="V129" s="94">
        <v>16624</v>
      </c>
      <c r="W129" s="92"/>
      <c r="X129" s="92"/>
      <c r="Y129" s="92"/>
      <c r="Z129" s="92"/>
      <c r="AA129" s="92"/>
      <c r="AB129" s="96"/>
      <c r="AC129" s="96"/>
      <c r="AD129" s="96"/>
      <c r="AE129" s="96"/>
      <c r="AF129" s="96"/>
      <c r="AG129" s="97"/>
      <c r="AM129" s="98" t="str">
        <f t="shared" ref="AM129" si="91">+_xlfn.TEXTJOIN("|",FALSE,J129:AG129)</f>
        <v>TABS.8095|DETAIL|8095::::DISCOUNT ON INSTALLMENT PAYABLE||4||||||AC||16624|||||||||||</v>
      </c>
      <c r="BZ129" s="99"/>
      <c r="CA129" s="99"/>
      <c r="CD129" s="99"/>
      <c r="CE129" s="99"/>
    </row>
    <row r="130" spans="1:89" s="65" customFormat="1" x14ac:dyDescent="0.2">
      <c r="A130" s="70"/>
      <c r="B130" s="71" t="s">
        <v>86</v>
      </c>
      <c r="C130" s="59"/>
      <c r="D130" s="60">
        <v>5100</v>
      </c>
      <c r="E130" s="71" t="s">
        <v>633</v>
      </c>
      <c r="F130" s="71" t="s">
        <v>12</v>
      </c>
      <c r="G130" s="67" t="s">
        <v>30</v>
      </c>
      <c r="H130" s="71"/>
      <c r="I130" s="71" t="s">
        <v>35</v>
      </c>
      <c r="J130" s="71" t="str">
        <f t="shared" si="68"/>
        <v>TABS.8300</v>
      </c>
      <c r="K130" s="71" t="str">
        <f t="shared" si="69"/>
        <v>TOTAL</v>
      </c>
      <c r="L130" s="5" t="str">
        <f t="shared" si="73"/>
        <v>***::::TOT - OTHER LIABILITIES</v>
      </c>
      <c r="M130" s="71">
        <v>4</v>
      </c>
      <c r="N130" s="71">
        <v>3</v>
      </c>
      <c r="O130" s="71"/>
      <c r="P130" s="71">
        <v>1</v>
      </c>
      <c r="Q130" s="71"/>
      <c r="R130" s="71"/>
      <c r="S130" s="71"/>
      <c r="T130" s="5"/>
      <c r="U130" s="71"/>
      <c r="V130" s="71"/>
      <c r="W130" s="71"/>
      <c r="X130" s="71"/>
      <c r="Y130" s="71"/>
      <c r="Z130" s="71"/>
      <c r="AA130" s="71"/>
      <c r="AB130" s="86"/>
      <c r="AC130" s="86"/>
      <c r="AD130" s="86"/>
      <c r="AE130" s="86"/>
      <c r="AF130" s="86"/>
      <c r="AG130" s="72"/>
      <c r="AH130" s="46" t="str">
        <f>+_xlfn.XLOOKUP(E130,'[2]Personal Finance - TB (2)'!$J:$J,'[2]Personal Finance - TB (2)'!$G:$G,"",0)</f>
        <v/>
      </c>
      <c r="AI130" s="46"/>
      <c r="AJ130" s="46"/>
      <c r="AK130" s="46"/>
      <c r="AL130" s="46"/>
      <c r="AM130" s="1" t="str">
        <f t="shared" si="67"/>
        <v>TABS.8300|TOTAL|***::::TOT - OTHER LIABILITIES|4|3||1|||||||||||||||||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22"/>
      <c r="CA130" s="22"/>
      <c r="CB130" s="1"/>
      <c r="CC130" s="1"/>
      <c r="CD130" s="22"/>
      <c r="CE130" s="22"/>
      <c r="CF130" s="1"/>
      <c r="CG130" s="1"/>
      <c r="CH130" s="1"/>
      <c r="CI130" s="1"/>
      <c r="CJ130" s="1"/>
      <c r="CK130" s="1"/>
    </row>
    <row r="131" spans="1:89" s="65" customFormat="1" x14ac:dyDescent="0.2">
      <c r="A131" s="66"/>
      <c r="B131" s="5" t="s">
        <v>86</v>
      </c>
      <c r="C131" s="3"/>
      <c r="D131" s="3">
        <v>8399</v>
      </c>
      <c r="E131" s="5" t="s">
        <v>230</v>
      </c>
      <c r="F131" s="5" t="s">
        <v>12</v>
      </c>
      <c r="G131" s="67" t="s">
        <v>30</v>
      </c>
      <c r="H131" s="5"/>
      <c r="I131" s="69" t="s">
        <v>36</v>
      </c>
      <c r="J131" s="69" t="str">
        <f t="shared" si="68"/>
        <v>TABS.8500</v>
      </c>
      <c r="K131" s="69" t="str">
        <f t="shared" si="69"/>
        <v>TOTAL</v>
      </c>
      <c r="L131" s="5" t="str">
        <f t="shared" ref="L131:L136" si="92">+_xlfn.TEXTJOIN("::",FALSE,G131:I131)</f>
        <v>***::::TOT - LIABILITIES</v>
      </c>
      <c r="M131" s="5">
        <v>3</v>
      </c>
      <c r="N131" s="5">
        <v>2</v>
      </c>
      <c r="O131" s="5"/>
      <c r="P131" s="71">
        <v>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83"/>
      <c r="AC131" s="83"/>
      <c r="AD131" s="83"/>
      <c r="AE131" s="83"/>
      <c r="AF131" s="83"/>
      <c r="AG131" s="9"/>
      <c r="AH131" s="46" t="str">
        <f>+_xlfn.XLOOKUP(E131,'[2]Personal Finance - TB (2)'!$J:$J,'[2]Personal Finance - TB (2)'!$G:$G,"",0)</f>
        <v/>
      </c>
      <c r="AI131" s="46"/>
      <c r="AJ131" s="46"/>
      <c r="AK131" s="46"/>
      <c r="AL131" s="46"/>
      <c r="AM131" s="1" t="str">
        <f t="shared" si="67"/>
        <v>TABS.8500|TOTAL|***::::TOT - LIABILITIES|3|2||1|||||||||||||||||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22"/>
      <c r="CA131" s="22"/>
      <c r="CB131" s="1"/>
      <c r="CC131" s="1"/>
      <c r="CD131" s="22"/>
      <c r="CE131" s="22"/>
      <c r="CF131" s="1"/>
      <c r="CG131" s="1"/>
      <c r="CH131" s="1"/>
      <c r="CI131" s="1"/>
      <c r="CJ131" s="1"/>
      <c r="CK131" s="1"/>
    </row>
    <row r="132" spans="1:89" s="65" customFormat="1" x14ac:dyDescent="0.2">
      <c r="A132" s="66"/>
      <c r="B132" s="5" t="s">
        <v>86</v>
      </c>
      <c r="C132" s="3"/>
      <c r="D132" s="44">
        <v>8400</v>
      </c>
      <c r="E132" s="5" t="s">
        <v>231</v>
      </c>
      <c r="F132" s="5" t="s">
        <v>12</v>
      </c>
      <c r="G132" s="67" t="s">
        <v>103</v>
      </c>
      <c r="H132" s="5"/>
      <c r="I132" s="5" t="s">
        <v>57</v>
      </c>
      <c r="J132" s="5" t="str">
        <f t="shared" si="68"/>
        <v>TABS.9000</v>
      </c>
      <c r="K132" s="5" t="str">
        <f t="shared" si="69"/>
        <v>TOTAL</v>
      </c>
      <c r="L132" s="5" t="str">
        <f t="shared" si="92"/>
        <v>****::::TOT - EQUITY AND LIABILITIES</v>
      </c>
      <c r="M132" s="5">
        <v>2</v>
      </c>
      <c r="N132" s="5">
        <v>1</v>
      </c>
      <c r="O132" s="5"/>
      <c r="P132" s="71">
        <v>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83"/>
      <c r="AC132" s="83"/>
      <c r="AD132" s="83"/>
      <c r="AE132" s="83"/>
      <c r="AF132" s="83"/>
      <c r="AG132" s="9"/>
      <c r="AH132" s="46" t="str">
        <f>+_xlfn.XLOOKUP(E132,'[2]Personal Finance - TB (2)'!$J:$J,'[2]Personal Finance - TB (2)'!$G:$G,"",0)</f>
        <v/>
      </c>
      <c r="AI132" s="46"/>
      <c r="AJ132" s="46"/>
      <c r="AK132" s="46"/>
      <c r="AL132" s="46"/>
      <c r="AM132" s="1" t="str">
        <f t="shared" si="67"/>
        <v>TABS.9000|TOTAL|****::::TOT - EQUITY AND LIABILITIES|2|1||2|||||||||||||||||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22"/>
      <c r="CA132" s="22"/>
      <c r="CB132" s="1"/>
      <c r="CC132" s="1"/>
      <c r="CD132" s="22"/>
      <c r="CE132" s="22"/>
      <c r="CF132" s="1"/>
      <c r="CG132" s="1"/>
      <c r="CH132" s="1"/>
      <c r="CI132" s="1"/>
      <c r="CJ132" s="1"/>
      <c r="CK132" s="1"/>
    </row>
    <row r="133" spans="1:89" x14ac:dyDescent="0.2">
      <c r="A133" s="43"/>
      <c r="B133" s="2" t="s">
        <v>86</v>
      </c>
      <c r="C133" s="3"/>
      <c r="D133" s="2">
        <v>8480</v>
      </c>
      <c r="E133" s="2" t="s">
        <v>232</v>
      </c>
      <c r="F133" s="2" t="s">
        <v>10</v>
      </c>
      <c r="G133" s="50" t="s">
        <v>22</v>
      </c>
      <c r="H133" s="2"/>
      <c r="I133" s="2" t="s">
        <v>78</v>
      </c>
      <c r="J133" s="2" t="str">
        <f t="shared" si="68"/>
        <v>TABS.9010</v>
      </c>
      <c r="K133" s="2" t="str">
        <f t="shared" si="69"/>
        <v>HEADING</v>
      </c>
      <c r="L133" s="2" t="str">
        <f t="shared" si="92"/>
        <v>**::::CATCH-ALL BALANCES</v>
      </c>
      <c r="M133" s="3"/>
      <c r="N133" s="2"/>
      <c r="O133" s="2"/>
      <c r="P133" s="58">
        <v>1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81"/>
      <c r="AC133" s="81"/>
      <c r="AD133" s="81"/>
      <c r="AE133" s="81"/>
      <c r="AF133" s="81"/>
      <c r="AG133" s="7"/>
      <c r="AH133" s="1" t="str">
        <f>+_xlfn.XLOOKUP(E133,'[2]Personal Finance - TB (2)'!$J:$J,'[2]Personal Finance - TB (2)'!$G:$G,"",0)</f>
        <v/>
      </c>
      <c r="AM133" s="1" t="str">
        <f t="shared" si="67"/>
        <v>TABS.9010|HEADING|**::::CATCH-ALL BALANCES||||1|||||||||||||||||</v>
      </c>
      <c r="CC133" s="1" t="s">
        <v>61</v>
      </c>
    </row>
    <row r="134" spans="1:89" x14ac:dyDescent="0.2">
      <c r="A134" s="31"/>
      <c r="B134" s="4" t="s">
        <v>86</v>
      </c>
      <c r="C134" s="6"/>
      <c r="D134" s="6">
        <v>8485</v>
      </c>
      <c r="E134" s="36" t="s">
        <v>233</v>
      </c>
      <c r="F134" s="4" t="s">
        <v>11</v>
      </c>
      <c r="G134" s="53" t="str">
        <f>RIGHT(E134,4)</f>
        <v>9500</v>
      </c>
      <c r="H134" s="4"/>
      <c r="I134" s="4" t="s">
        <v>78</v>
      </c>
      <c r="J134" s="4" t="str">
        <f t="shared" si="68"/>
        <v>TABS.9500</v>
      </c>
      <c r="K134" s="4" t="str">
        <f t="shared" si="69"/>
        <v>DETAIL</v>
      </c>
      <c r="L134" s="4" t="str">
        <f t="shared" si="92"/>
        <v>9500::::CATCH-ALL BALANCES</v>
      </c>
      <c r="M134" s="4"/>
      <c r="N134" s="4">
        <v>2</v>
      </c>
      <c r="O134" s="4"/>
      <c r="P134" s="4"/>
      <c r="Q134" s="4"/>
      <c r="R134" s="4"/>
      <c r="S134" s="4"/>
      <c r="T134" s="4"/>
      <c r="U134" s="4"/>
      <c r="V134" s="53"/>
      <c r="W134" s="4"/>
      <c r="X134" s="4"/>
      <c r="Y134" s="4"/>
      <c r="Z134" s="4"/>
      <c r="AA134" s="4" t="s">
        <v>60</v>
      </c>
      <c r="AB134" s="84"/>
      <c r="AC134" s="84"/>
      <c r="AD134" s="84"/>
      <c r="AE134" s="84"/>
      <c r="AF134" s="84"/>
      <c r="AG134" s="8"/>
      <c r="AH134" s="1" t="s">
        <v>99</v>
      </c>
      <c r="AK134" s="1" t="b">
        <f>+IF(AH134=H134,TRUE,FALSE)</f>
        <v>0</v>
      </c>
      <c r="AM134" s="1" t="str">
        <f t="shared" si="67"/>
        <v>TABS.9500|DETAIL|9500::::CATCH-ALL BALANCES||2|||||||||||||DAL||||||</v>
      </c>
      <c r="CC134" s="1" t="s">
        <v>101</v>
      </c>
    </row>
    <row r="135" spans="1:89" s="65" customFormat="1" x14ac:dyDescent="0.2">
      <c r="A135" s="66"/>
      <c r="B135" s="5" t="s">
        <v>86</v>
      </c>
      <c r="C135" s="3"/>
      <c r="D135" s="44">
        <v>8490</v>
      </c>
      <c r="E135" s="5" t="s">
        <v>234</v>
      </c>
      <c r="F135" s="5" t="s">
        <v>12</v>
      </c>
      <c r="G135" s="67" t="s">
        <v>30</v>
      </c>
      <c r="H135" s="5"/>
      <c r="I135" s="5" t="s">
        <v>79</v>
      </c>
      <c r="J135" s="5" t="str">
        <f t="shared" si="68"/>
        <v>TABS.9600</v>
      </c>
      <c r="K135" s="5" t="str">
        <f t="shared" si="69"/>
        <v>TOTAL</v>
      </c>
      <c r="L135" s="5" t="str">
        <f t="shared" si="92"/>
        <v>***::::TOT - CATCH-ALL BALANCES</v>
      </c>
      <c r="M135" s="5">
        <v>2</v>
      </c>
      <c r="N135" s="5">
        <v>1</v>
      </c>
      <c r="O135" s="5"/>
      <c r="P135" s="71">
        <v>2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83"/>
      <c r="AC135" s="83"/>
      <c r="AD135" s="83"/>
      <c r="AE135" s="83"/>
      <c r="AF135" s="83"/>
      <c r="AG135" s="9"/>
      <c r="AH135" s="46"/>
      <c r="AI135" s="46"/>
      <c r="AJ135" s="46"/>
      <c r="AK135" s="46"/>
      <c r="AL135" s="46"/>
      <c r="AM135" s="1" t="str">
        <f t="shared" si="67"/>
        <v>TABS.9600|TOTAL|***::::TOT - CATCH-ALL BALANCES|2|1||2|||||||||||||||||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22"/>
      <c r="CA135" s="22"/>
      <c r="CB135" s="1"/>
      <c r="CC135" s="1"/>
      <c r="CD135" s="22"/>
      <c r="CE135" s="22"/>
      <c r="CF135" s="1"/>
      <c r="CG135" s="1"/>
      <c r="CH135" s="1"/>
      <c r="CI135" s="1"/>
      <c r="CJ135" s="1"/>
      <c r="CK135" s="1"/>
    </row>
    <row r="136" spans="1:89" s="65" customFormat="1" x14ac:dyDescent="0.2">
      <c r="A136" s="66"/>
      <c r="B136" s="5" t="s">
        <v>86</v>
      </c>
      <c r="C136" s="3"/>
      <c r="D136" s="44">
        <v>8500</v>
      </c>
      <c r="E136" s="5" t="s">
        <v>235</v>
      </c>
      <c r="F136" s="5" t="s">
        <v>12</v>
      </c>
      <c r="G136" s="67" t="s">
        <v>103</v>
      </c>
      <c r="H136" s="5"/>
      <c r="I136" s="5" t="s">
        <v>58</v>
      </c>
      <c r="J136" s="5" t="str">
        <f t="shared" si="68"/>
        <v>TABS.9800</v>
      </c>
      <c r="K136" s="5" t="str">
        <f t="shared" si="69"/>
        <v>TOTAL</v>
      </c>
      <c r="L136" s="5" t="str">
        <f t="shared" si="92"/>
        <v>****::::GRAND TOTAL</v>
      </c>
      <c r="M136" s="5">
        <v>1</v>
      </c>
      <c r="N136" s="5"/>
      <c r="O136" s="5"/>
      <c r="P136" s="71">
        <v>1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83"/>
      <c r="AC136" s="83"/>
      <c r="AD136" s="83"/>
      <c r="AE136" s="83"/>
      <c r="AF136" s="83"/>
      <c r="AG136" s="9"/>
      <c r="AH136" s="46"/>
      <c r="AI136" s="46"/>
      <c r="AJ136" s="46"/>
      <c r="AK136" s="46"/>
      <c r="AL136" s="46"/>
      <c r="AM136" s="1" t="str">
        <f t="shared" si="67"/>
        <v>TABS.9800|TOTAL|****::::GRAND TOTAL|1|||1|||||||||||||||||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22"/>
      <c r="CA136" s="22"/>
      <c r="CB136" s="1"/>
      <c r="CC136" s="1"/>
      <c r="CD136" s="22"/>
      <c r="CE136" s="22"/>
      <c r="CF136" s="1"/>
      <c r="CG136" s="1"/>
      <c r="CH136" s="1"/>
      <c r="CI136" s="1"/>
      <c r="CJ136" s="1"/>
      <c r="CK136" s="1"/>
    </row>
    <row r="139" spans="1:89" x14ac:dyDescent="0.2">
      <c r="A139" s="20" t="s">
        <v>714</v>
      </c>
    </row>
    <row r="140" spans="1:89" x14ac:dyDescent="0.2">
      <c r="A140" s="20" t="s">
        <v>715</v>
      </c>
    </row>
  </sheetData>
  <autoFilter ref="A2:CK2" xr:uid="{FB2F4286-816D-4C37-8226-62B1A2DDD897}"/>
  <phoneticPr fontId="6" type="noConversion"/>
  <conditionalFormatting sqref="E1:E1048576">
    <cfRule type="duplicateValues" dxfId="3" priority="2"/>
  </conditionalFormatting>
  <conditionalFormatting sqref="J2">
    <cfRule type="duplicateValues" dxfId="2" priority="1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3696-215D-4506-8EAE-99E6B443B8BA}">
  <sheetPr>
    <pageSetUpPr autoPageBreaks="0"/>
  </sheetPr>
  <dimension ref="A1:AI113"/>
  <sheetViews>
    <sheetView zoomScale="102" workbookViewId="0">
      <pane xSplit="9" ySplit="2" topLeftCell="J3" activePane="bottomRight" state="frozen"/>
      <selection activeCell="G50" sqref="G50"/>
      <selection pane="topRight" activeCell="G50" sqref="G50"/>
      <selection pane="bottomLeft" activeCell="G50" sqref="G50"/>
      <selection pane="bottomRight" activeCell="A38" sqref="A38"/>
    </sheetView>
  </sheetViews>
  <sheetFormatPr defaultRowHeight="12" x14ac:dyDescent="0.2"/>
  <cols>
    <col min="1" max="1" width="9.28515625" style="20" bestFit="1" customWidth="1"/>
    <col min="2" max="2" width="12" style="1" customWidth="1"/>
    <col min="3" max="3" width="5.85546875" style="1" hidden="1" customWidth="1"/>
    <col min="4" max="4" width="10" style="1" hidden="1" customWidth="1"/>
    <col min="5" max="5" width="11.5703125" style="1" bestFit="1" customWidth="1"/>
    <col min="6" max="6" width="8.7109375" style="1" bestFit="1" customWidth="1"/>
    <col min="7" max="7" width="8.7109375" style="20" customWidth="1"/>
    <col min="8" max="8" width="8.5703125" style="1" customWidth="1"/>
    <col min="9" max="9" width="32.42578125" style="1" bestFit="1" customWidth="1"/>
    <col min="10" max="10" width="9.28515625" style="1" bestFit="1" customWidth="1"/>
    <col min="11" max="11" width="9.140625" style="1" bestFit="1" customWidth="1"/>
    <col min="12" max="12" width="37.140625" style="1" bestFit="1" customWidth="1"/>
    <col min="13" max="13" width="12.28515625" style="1" customWidth="1"/>
    <col min="14" max="14" width="12.7109375" style="1" customWidth="1"/>
    <col min="15" max="15" width="10.42578125" style="1" customWidth="1"/>
    <col min="16" max="16" width="15.140625" style="1" bestFit="1" customWidth="1"/>
    <col min="17" max="17" width="14.140625" style="1" bestFit="1" customWidth="1"/>
    <col min="18" max="27" width="14.140625" style="1" customWidth="1"/>
    <col min="28" max="28" width="13.7109375" style="1" customWidth="1"/>
    <col min="29" max="32" width="10.28515625" style="1" bestFit="1" customWidth="1"/>
    <col min="33" max="33" width="16.7109375" style="1" bestFit="1" customWidth="1"/>
    <col min="34" max="34" width="255.7109375" style="13" bestFit="1" customWidth="1"/>
    <col min="35" max="35" width="23.140625" style="1" bestFit="1" customWidth="1"/>
    <col min="36" max="16384" width="9.140625" style="1"/>
  </cols>
  <sheetData>
    <row r="1" spans="1:35" ht="12.75" thickBot="1" x14ac:dyDescent="0.25">
      <c r="B1" s="6" t="s">
        <v>263</v>
      </c>
      <c r="AC1" s="1" t="s">
        <v>90</v>
      </c>
      <c r="AD1" s="1" t="s">
        <v>91</v>
      </c>
    </row>
    <row r="2" spans="1:35" x14ac:dyDescent="0.2">
      <c r="A2" s="10" t="s">
        <v>237</v>
      </c>
      <c r="B2" s="10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1" t="s">
        <v>88</v>
      </c>
      <c r="I2" s="11" t="s">
        <v>89</v>
      </c>
      <c r="J2" s="11" t="str">
        <f>+E2</f>
        <v>@ID</v>
      </c>
      <c r="K2" s="11" t="s">
        <v>32</v>
      </c>
      <c r="L2" s="11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701</v>
      </c>
      <c r="U2" s="11" t="s">
        <v>26</v>
      </c>
      <c r="V2" s="49" t="s">
        <v>694</v>
      </c>
      <c r="W2" s="11" t="s">
        <v>14</v>
      </c>
      <c r="X2" s="11" t="s">
        <v>83</v>
      </c>
      <c r="Y2" s="11" t="s">
        <v>84</v>
      </c>
      <c r="Z2" s="11" t="s">
        <v>695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H2" s="14" t="str">
        <f t="shared" ref="AH2:AH10" si="0"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35" x14ac:dyDescent="0.2">
      <c r="A3" s="56">
        <v>1</v>
      </c>
      <c r="B3" s="3" t="s">
        <v>86</v>
      </c>
      <c r="C3" s="3">
        <v>10</v>
      </c>
      <c r="D3" s="18" t="s">
        <v>33</v>
      </c>
      <c r="E3" s="2" t="s">
        <v>658</v>
      </c>
      <c r="F3" s="2" t="s">
        <v>10</v>
      </c>
      <c r="G3" s="50" t="s">
        <v>103</v>
      </c>
      <c r="H3" s="2"/>
      <c r="I3" s="62" t="s">
        <v>503</v>
      </c>
      <c r="J3" s="2" t="str">
        <f>+E3</f>
        <v>TAPL.0010</v>
      </c>
      <c r="K3" s="2" t="s">
        <v>10</v>
      </c>
      <c r="L3" s="2" t="str">
        <f t="shared" ref="L3:L113" si="1">+_xlfn.TEXTJOIN("::",FALSE,G3:I3)</f>
        <v>****::::REVENUE</v>
      </c>
      <c r="M3" s="3"/>
      <c r="N3" s="2"/>
      <c r="O3" s="2"/>
      <c r="P3" s="2"/>
      <c r="Q3" s="2">
        <v>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7"/>
      <c r="AH3" s="13" t="str">
        <f t="shared" si="0"/>
        <v>TAPL.0010|HEADING|****::::REVENUE|||||2||||||||||||||||</v>
      </c>
    </row>
    <row r="4" spans="1:35" x14ac:dyDescent="0.2">
      <c r="A4" s="56">
        <v>1.1000000000000001</v>
      </c>
      <c r="B4" s="3" t="s">
        <v>86</v>
      </c>
      <c r="C4" s="3">
        <v>10</v>
      </c>
      <c r="D4" s="18" t="s">
        <v>63</v>
      </c>
      <c r="E4" s="2" t="s">
        <v>659</v>
      </c>
      <c r="F4" s="2" t="s">
        <v>10</v>
      </c>
      <c r="G4" s="50" t="s">
        <v>22</v>
      </c>
      <c r="H4" s="2"/>
      <c r="I4" s="62" t="s">
        <v>62</v>
      </c>
      <c r="J4" s="2" t="str">
        <f t="shared" ref="J4:J74" si="2">+E4</f>
        <v>TAPL.0020</v>
      </c>
      <c r="K4" s="2" t="s">
        <v>10</v>
      </c>
      <c r="L4" s="2" t="str">
        <f t="shared" si="1"/>
        <v>**::::PROFIT ON ISLAMIC FINANCING</v>
      </c>
      <c r="M4" s="3"/>
      <c r="N4" s="2"/>
      <c r="O4" s="2"/>
      <c r="P4" s="2"/>
      <c r="Q4" s="2">
        <v>1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7"/>
      <c r="AH4" s="13" t="str">
        <f t="shared" si="0"/>
        <v>TAPL.0020|HEADING|**::::PROFIT ON ISLAMIC FINANCING|||||1||||||||||||||||</v>
      </c>
    </row>
    <row r="5" spans="1:35" x14ac:dyDescent="0.2">
      <c r="A5" s="56" t="s">
        <v>104</v>
      </c>
      <c r="B5" s="3" t="s">
        <v>86</v>
      </c>
      <c r="C5" s="3">
        <v>10</v>
      </c>
      <c r="D5" s="18" t="s">
        <v>64</v>
      </c>
      <c r="E5" s="2" t="s">
        <v>660</v>
      </c>
      <c r="F5" s="2" t="s">
        <v>10</v>
      </c>
      <c r="G5" s="50" t="s">
        <v>22</v>
      </c>
      <c r="H5" s="2"/>
      <c r="I5" s="62" t="s">
        <v>65</v>
      </c>
      <c r="J5" s="2" t="str">
        <f t="shared" si="2"/>
        <v>TAPL.0021</v>
      </c>
      <c r="K5" s="2" t="s">
        <v>10</v>
      </c>
      <c r="L5" s="2" t="str">
        <f t="shared" si="1"/>
        <v>**::::PROFIT ON RETAIL FINANCING</v>
      </c>
      <c r="M5" s="3"/>
      <c r="N5" s="2"/>
      <c r="O5" s="2"/>
      <c r="P5" s="2"/>
      <c r="Q5" s="2">
        <v>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7"/>
      <c r="AH5" s="13" t="str">
        <f t="shared" si="0"/>
        <v>TAPL.0021|HEADING|**::::PROFIT ON RETAIL FINANCING|||||1||||||||||||||||</v>
      </c>
    </row>
    <row r="6" spans="1:35" x14ac:dyDescent="0.2">
      <c r="A6" s="21" t="s">
        <v>119</v>
      </c>
      <c r="B6" s="6" t="s">
        <v>86</v>
      </c>
      <c r="C6" s="6">
        <v>10</v>
      </c>
      <c r="D6" s="23">
        <v>30</v>
      </c>
      <c r="E6" s="4" t="s">
        <v>676</v>
      </c>
      <c r="F6" s="4" t="s">
        <v>11</v>
      </c>
      <c r="G6" s="52" t="str">
        <f>+TEXT(D6,"0000")</f>
        <v>0030</v>
      </c>
      <c r="H6" s="4"/>
      <c r="I6" s="4" t="s">
        <v>495</v>
      </c>
      <c r="J6" s="4" t="str">
        <f t="shared" si="2"/>
        <v>TAPL.0030</v>
      </c>
      <c r="K6" s="4" t="s">
        <v>11</v>
      </c>
      <c r="L6" s="4" t="str">
        <f t="shared" si="1"/>
        <v>0030::::PROFIT ON TAWARRUQ</v>
      </c>
      <c r="M6" s="4"/>
      <c r="N6" s="4">
        <v>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0</v>
      </c>
      <c r="AC6" s="4">
        <v>51001</v>
      </c>
      <c r="AD6" s="4">
        <v>3114</v>
      </c>
      <c r="AE6" s="4"/>
      <c r="AF6" s="4"/>
      <c r="AG6" s="8"/>
      <c r="AH6" s="13" t="str">
        <f t="shared" si="0"/>
        <v>TAPL.0030|DETAIL|0030::::PROFIT ON TAWARRUQ||5||||||||||||||PL|51001|3114|||</v>
      </c>
      <c r="AI6" s="1" t="str">
        <f>+_xlfn.XLOOKUP(E6,'[2]Personal Finance - TB (2)'!$J:$J,'[2]Personal Finance - TB (2)'!$G:$G,"",0)</f>
        <v/>
      </c>
    </row>
    <row r="7" spans="1:35" x14ac:dyDescent="0.2">
      <c r="A7" s="21" t="s">
        <v>120</v>
      </c>
      <c r="B7" s="6" t="s">
        <v>86</v>
      </c>
      <c r="C7" s="6"/>
      <c r="D7" s="23">
        <v>40</v>
      </c>
      <c r="E7" s="4" t="s">
        <v>483</v>
      </c>
      <c r="F7" s="4" t="s">
        <v>11</v>
      </c>
      <c r="G7" s="52" t="str">
        <f>+TEXT(D7,"0000")</f>
        <v>0040</v>
      </c>
      <c r="H7" s="4"/>
      <c r="I7" s="4" t="s">
        <v>496</v>
      </c>
      <c r="J7" s="4" t="str">
        <f t="shared" si="2"/>
        <v>TAPL.0040</v>
      </c>
      <c r="K7" s="4" t="s">
        <v>11</v>
      </c>
      <c r="L7" s="4" t="str">
        <f t="shared" si="1"/>
        <v>0040::::PROFIT ON MURABAHA</v>
      </c>
      <c r="M7" s="4"/>
      <c r="N7" s="4">
        <v>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0</v>
      </c>
      <c r="AC7" s="4">
        <v>51003</v>
      </c>
      <c r="AD7" s="4">
        <v>3115</v>
      </c>
      <c r="AE7" s="4"/>
      <c r="AF7" s="4"/>
      <c r="AG7" s="8"/>
      <c r="AH7" s="13" t="str">
        <f t="shared" si="0"/>
        <v>TAPL.0040|DETAIL|0040::::PROFIT ON MURABAHA||5||||||||||||||PL|51003|3115|||</v>
      </c>
    </row>
    <row r="8" spans="1:35" x14ac:dyDescent="0.2">
      <c r="A8" s="21" t="s">
        <v>639</v>
      </c>
      <c r="B8" s="6" t="s">
        <v>86</v>
      </c>
      <c r="C8" s="6"/>
      <c r="D8" s="23">
        <v>50</v>
      </c>
      <c r="E8" s="4" t="s">
        <v>484</v>
      </c>
      <c r="F8" s="4" t="s">
        <v>11</v>
      </c>
      <c r="G8" s="52" t="str">
        <f>+TEXT(D8,"0000")</f>
        <v>0050</v>
      </c>
      <c r="H8" s="4"/>
      <c r="I8" s="4" t="s">
        <v>497</v>
      </c>
      <c r="J8" s="4" t="str">
        <f t="shared" si="2"/>
        <v>TAPL.0050</v>
      </c>
      <c r="K8" s="4" t="s">
        <v>11</v>
      </c>
      <c r="L8" s="4" t="str">
        <f t="shared" si="1"/>
        <v>0050::::PROFIT ON IJARAH</v>
      </c>
      <c r="M8" s="4"/>
      <c r="N8" s="4">
        <v>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0</v>
      </c>
      <c r="AC8" s="4">
        <v>51002</v>
      </c>
      <c r="AD8" s="4">
        <v>3116</v>
      </c>
      <c r="AE8" s="4"/>
      <c r="AF8" s="4"/>
      <c r="AG8" s="8"/>
      <c r="AH8" s="13" t="str">
        <f t="shared" si="0"/>
        <v>TAPL.0050|DETAIL|0050::::PROFIT ON IJARAH||5||||||||||||||PL|51002|3116|||</v>
      </c>
    </row>
    <row r="9" spans="1:35" x14ac:dyDescent="0.2">
      <c r="A9" s="64"/>
      <c r="B9" s="16" t="s">
        <v>86</v>
      </c>
      <c r="C9" s="16">
        <v>120</v>
      </c>
      <c r="D9" s="19" t="s">
        <v>163</v>
      </c>
      <c r="E9" s="5" t="s">
        <v>661</v>
      </c>
      <c r="F9" s="5" t="s">
        <v>12</v>
      </c>
      <c r="G9" s="67" t="s">
        <v>30</v>
      </c>
      <c r="H9" s="5"/>
      <c r="I9" s="5" t="s">
        <v>66</v>
      </c>
      <c r="J9" s="5" t="str">
        <f t="shared" si="2"/>
        <v>TAPL.0500</v>
      </c>
      <c r="K9" s="5" t="s">
        <v>12</v>
      </c>
      <c r="L9" s="5" t="str">
        <f t="shared" si="1"/>
        <v>***::::TOT - PRFT ON RETAIL FINANCING</v>
      </c>
      <c r="M9" s="5">
        <v>5</v>
      </c>
      <c r="N9" s="5">
        <v>4</v>
      </c>
      <c r="O9" s="5"/>
      <c r="P9" s="5"/>
      <c r="Q9" s="5">
        <v>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13" t="str">
        <f t="shared" si="0"/>
        <v>TAPL.0500|TOTAL|***::::TOT - PRFT ON RETAIL FINANCING|5|4|||1||||||||||||||||</v>
      </c>
    </row>
    <row r="10" spans="1:35" x14ac:dyDescent="0.2">
      <c r="A10" s="56" t="s">
        <v>640</v>
      </c>
      <c r="B10" s="3" t="s">
        <v>86</v>
      </c>
      <c r="C10" s="3">
        <v>10</v>
      </c>
      <c r="D10" s="18" t="s">
        <v>64</v>
      </c>
      <c r="E10" s="2" t="s">
        <v>677</v>
      </c>
      <c r="F10" s="2" t="s">
        <v>10</v>
      </c>
      <c r="G10" s="50" t="s">
        <v>22</v>
      </c>
      <c r="H10" s="2"/>
      <c r="I10" s="62" t="s">
        <v>501</v>
      </c>
      <c r="J10" s="2" t="str">
        <f t="shared" si="2"/>
        <v>TAPL.0501</v>
      </c>
      <c r="K10" s="2" t="s">
        <v>10</v>
      </c>
      <c r="L10" s="2" t="str">
        <f t="shared" ref="L10:L14" si="3">+_xlfn.TEXTJOIN("::",FALSE,G10:I10)</f>
        <v>**::::SUSPENDED PFT - RET FINANCING</v>
      </c>
      <c r="M10" s="3"/>
      <c r="N10" s="2"/>
      <c r="O10" s="2"/>
      <c r="P10" s="2"/>
      <c r="Q10" s="2">
        <v>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7"/>
      <c r="AH10" s="13" t="str">
        <f t="shared" si="0"/>
        <v>TAPL.0501|HEADING|**::::SUSPENDED PFT - RET FINANCING|||||1||||||||||||||||</v>
      </c>
    </row>
    <row r="11" spans="1:35" x14ac:dyDescent="0.2">
      <c r="A11" s="21" t="s">
        <v>641</v>
      </c>
      <c r="B11" s="6" t="s">
        <v>86</v>
      </c>
      <c r="C11" s="6">
        <v>10</v>
      </c>
      <c r="D11" s="23">
        <v>505</v>
      </c>
      <c r="E11" s="4" t="s">
        <v>678</v>
      </c>
      <c r="F11" s="4" t="s">
        <v>11</v>
      </c>
      <c r="G11" s="52" t="str">
        <f t="shared" ref="G11:G13" si="4">+TEXT(D11,"0000")</f>
        <v>0505</v>
      </c>
      <c r="H11" s="4"/>
      <c r="I11" s="4" t="s">
        <v>498</v>
      </c>
      <c r="J11" s="4" t="str">
        <f t="shared" si="2"/>
        <v>TAPL.0505</v>
      </c>
      <c r="K11" s="4" t="s">
        <v>11</v>
      </c>
      <c r="L11" s="4" t="str">
        <f t="shared" si="3"/>
        <v>0505::::SUSPENDED PROFIT - TAWARRUQ</v>
      </c>
      <c r="M11" s="4"/>
      <c r="N11" s="4">
        <v>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0</v>
      </c>
      <c r="AC11" s="4">
        <v>51008</v>
      </c>
      <c r="AD11" s="4">
        <v>3114</v>
      </c>
      <c r="AE11" s="4"/>
      <c r="AF11" s="4"/>
      <c r="AG11" s="8"/>
      <c r="AH11" s="13" t="str">
        <f t="shared" ref="AH11:AH81" si="5">+_xlfn.TEXTJOIN("|",FALSE,J11:AG11)</f>
        <v>TAPL.0505|DETAIL|0505::::SUSPENDED PROFIT - TAWARRUQ||5||||||||||||||PL|51008|3114|||</v>
      </c>
      <c r="AI11" s="1" t="str">
        <f>+_xlfn.XLOOKUP(E11,'[2]Personal Finance - TB (2)'!$J:$J,'[2]Personal Finance - TB (2)'!$G:$G,"",0)</f>
        <v/>
      </c>
    </row>
    <row r="12" spans="1:35" x14ac:dyDescent="0.2">
      <c r="A12" s="21" t="s">
        <v>642</v>
      </c>
      <c r="B12" s="6" t="s">
        <v>86</v>
      </c>
      <c r="C12" s="6"/>
      <c r="D12" s="23">
        <v>510</v>
      </c>
      <c r="E12" s="4" t="s">
        <v>679</v>
      </c>
      <c r="F12" s="4" t="s">
        <v>11</v>
      </c>
      <c r="G12" s="52" t="str">
        <f t="shared" si="4"/>
        <v>0510</v>
      </c>
      <c r="H12" s="4"/>
      <c r="I12" s="4" t="s">
        <v>499</v>
      </c>
      <c r="J12" s="4" t="str">
        <f t="shared" si="2"/>
        <v>TAPL.0510</v>
      </c>
      <c r="K12" s="4" t="s">
        <v>11</v>
      </c>
      <c r="L12" s="4" t="str">
        <f t="shared" si="3"/>
        <v>0510::::SUSPENDED PROFIT - MURABAHA</v>
      </c>
      <c r="M12" s="4"/>
      <c r="N12" s="4">
        <v>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0</v>
      </c>
      <c r="AC12" s="4">
        <v>51008</v>
      </c>
      <c r="AD12" s="4">
        <v>3115</v>
      </c>
      <c r="AE12" s="4"/>
      <c r="AF12" s="4"/>
      <c r="AG12" s="8"/>
      <c r="AH12" s="13" t="str">
        <f t="shared" si="5"/>
        <v>TAPL.0510|DETAIL|0510::::SUSPENDED PROFIT - MURABAHA||5||||||||||||||PL|51008|3115|||</v>
      </c>
    </row>
    <row r="13" spans="1:35" x14ac:dyDescent="0.2">
      <c r="A13" s="21" t="s">
        <v>643</v>
      </c>
      <c r="B13" s="6" t="s">
        <v>86</v>
      </c>
      <c r="C13" s="6"/>
      <c r="D13" s="23">
        <v>515</v>
      </c>
      <c r="E13" s="4" t="s">
        <v>680</v>
      </c>
      <c r="F13" s="4" t="s">
        <v>11</v>
      </c>
      <c r="G13" s="52" t="str">
        <f t="shared" si="4"/>
        <v>0515</v>
      </c>
      <c r="H13" s="4"/>
      <c r="I13" s="4" t="s">
        <v>500</v>
      </c>
      <c r="J13" s="4" t="str">
        <f t="shared" si="2"/>
        <v>TAPL.0515</v>
      </c>
      <c r="K13" s="4" t="s">
        <v>11</v>
      </c>
      <c r="L13" s="4" t="str">
        <f t="shared" si="3"/>
        <v>0515::::SUSPENDED PROFIT - IJARAH</v>
      </c>
      <c r="M13" s="4"/>
      <c r="N13" s="4">
        <v>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0</v>
      </c>
      <c r="AC13" s="4">
        <v>51008</v>
      </c>
      <c r="AD13" s="4">
        <v>3116</v>
      </c>
      <c r="AE13" s="4"/>
      <c r="AF13" s="4"/>
      <c r="AG13" s="8"/>
      <c r="AH13" s="13" t="str">
        <f t="shared" si="5"/>
        <v>TAPL.0515|DETAIL|0515::::SUSPENDED PROFIT - IJARAH||5||||||||||||||PL|51008|3116|||</v>
      </c>
    </row>
    <row r="14" spans="1:35" x14ac:dyDescent="0.2">
      <c r="A14" s="64"/>
      <c r="B14" s="16" t="s">
        <v>86</v>
      </c>
      <c r="C14" s="16">
        <v>120</v>
      </c>
      <c r="D14" s="19" t="s">
        <v>163</v>
      </c>
      <c r="E14" s="5" t="s">
        <v>681</v>
      </c>
      <c r="F14" s="5" t="s">
        <v>12</v>
      </c>
      <c r="G14" s="67" t="s">
        <v>30</v>
      </c>
      <c r="H14" s="5"/>
      <c r="I14" s="5" t="s">
        <v>502</v>
      </c>
      <c r="J14" s="5" t="str">
        <f t="shared" si="2"/>
        <v>TAPL.0700</v>
      </c>
      <c r="K14" s="5" t="s">
        <v>12</v>
      </c>
      <c r="L14" s="5" t="str">
        <f t="shared" si="3"/>
        <v>***::::TOT - SUSPENDED PFT - RET FINANCING</v>
      </c>
      <c r="M14" s="5">
        <v>5</v>
      </c>
      <c r="N14" s="5">
        <v>4</v>
      </c>
      <c r="O14" s="5"/>
      <c r="P14" s="5"/>
      <c r="Q14" s="5">
        <v>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9"/>
      <c r="AH14" s="13" t="str">
        <f t="shared" si="5"/>
        <v>TAPL.0700|TOTAL|***::::TOT - SUSPENDED PFT - RET FINANCING|5|4|||1||||||||||||||||</v>
      </c>
    </row>
    <row r="15" spans="1:35" x14ac:dyDescent="0.2">
      <c r="A15" s="64"/>
      <c r="B15" s="16" t="s">
        <v>86</v>
      </c>
      <c r="C15" s="16">
        <v>120</v>
      </c>
      <c r="D15" s="16">
        <v>1500</v>
      </c>
      <c r="E15" s="5" t="s">
        <v>662</v>
      </c>
      <c r="F15" s="5" t="s">
        <v>12</v>
      </c>
      <c r="G15" s="67" t="s">
        <v>30</v>
      </c>
      <c r="H15" s="5"/>
      <c r="I15" s="5" t="s">
        <v>67</v>
      </c>
      <c r="J15" s="5" t="str">
        <f t="shared" si="2"/>
        <v>TAPL.1500</v>
      </c>
      <c r="K15" s="5" t="s">
        <v>12</v>
      </c>
      <c r="L15" s="5" t="str">
        <f t="shared" si="1"/>
        <v>***::::TOT - PRFT ON ISL FINANCING</v>
      </c>
      <c r="M15" s="5">
        <v>4</v>
      </c>
      <c r="N15" s="5">
        <v>3</v>
      </c>
      <c r="O15" s="5"/>
      <c r="P15" s="5"/>
      <c r="Q15" s="5">
        <v>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9"/>
      <c r="AH15" s="13" t="str">
        <f t="shared" si="5"/>
        <v>TAPL.1500|TOTAL|***::::TOT - PRFT ON ISL FINANCING|4|3|||1||||||||||||||||</v>
      </c>
    </row>
    <row r="16" spans="1:35" x14ac:dyDescent="0.2">
      <c r="A16" s="56">
        <v>1.2</v>
      </c>
      <c r="B16" s="3" t="s">
        <v>86</v>
      </c>
      <c r="C16" s="3">
        <v>10</v>
      </c>
      <c r="D16" s="18">
        <v>1510</v>
      </c>
      <c r="E16" s="2" t="s">
        <v>663</v>
      </c>
      <c r="F16" s="2" t="s">
        <v>10</v>
      </c>
      <c r="G16" s="50" t="s">
        <v>22</v>
      </c>
      <c r="H16" s="2"/>
      <c r="I16" s="62" t="s">
        <v>488</v>
      </c>
      <c r="J16" s="2" t="str">
        <f t="shared" si="2"/>
        <v>TAPL.1510</v>
      </c>
      <c r="K16" s="2" t="s">
        <v>10</v>
      </c>
      <c r="L16" s="2" t="str">
        <f t="shared" ref="L16:L20" si="6">+_xlfn.TEXTJOIN("::",FALSE,G16:I16)</f>
        <v xml:space="preserve">**::::UPFRONT ADMIN FEE </v>
      </c>
      <c r="M16" s="3"/>
      <c r="N16" s="2"/>
      <c r="O16" s="2"/>
      <c r="P16" s="2"/>
      <c r="Q16" s="2">
        <v>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7"/>
      <c r="AH16" s="13" t="str">
        <f t="shared" si="5"/>
        <v>TAPL.1510|HEADING|**::::UPFRONT ADMIN FEE |||||1||||||||||||||||</v>
      </c>
    </row>
    <row r="17" spans="1:34" x14ac:dyDescent="0.2">
      <c r="A17" s="21" t="s">
        <v>106</v>
      </c>
      <c r="B17" s="6" t="s">
        <v>86</v>
      </c>
      <c r="C17" s="6">
        <v>10</v>
      </c>
      <c r="D17" s="74" t="e">
        <f>+C17+#REF!</f>
        <v>#REF!</v>
      </c>
      <c r="E17" s="4" t="s">
        <v>664</v>
      </c>
      <c r="F17" s="4" t="s">
        <v>11</v>
      </c>
      <c r="G17" s="52">
        <v>1530</v>
      </c>
      <c r="H17" s="4"/>
      <c r="I17" s="4" t="s">
        <v>485</v>
      </c>
      <c r="J17" s="4" t="str">
        <f t="shared" si="2"/>
        <v>TAPL.1530</v>
      </c>
      <c r="K17" s="4" t="s">
        <v>11</v>
      </c>
      <c r="L17" s="4" t="str">
        <f t="shared" si="6"/>
        <v>1530::::UPFRONT ADMIN FEE - TAWARRUQ</v>
      </c>
      <c r="M17" s="4"/>
      <c r="N17" s="4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0</v>
      </c>
      <c r="AC17" s="4">
        <v>52172</v>
      </c>
      <c r="AD17" s="4">
        <v>3114</v>
      </c>
      <c r="AE17" s="4"/>
      <c r="AF17" s="4"/>
      <c r="AG17" s="8"/>
      <c r="AH17" s="13" t="str">
        <f t="shared" si="5"/>
        <v>TAPL.1530|DETAIL|1530::::UPFRONT ADMIN FEE - TAWARRUQ||4||||||||||||||PL|52172|3114|||</v>
      </c>
    </row>
    <row r="18" spans="1:34" x14ac:dyDescent="0.2">
      <c r="A18" s="21" t="s">
        <v>108</v>
      </c>
      <c r="B18" s="6" t="s">
        <v>86</v>
      </c>
      <c r="C18" s="6">
        <v>10</v>
      </c>
      <c r="D18" s="74" t="e">
        <f>+C18+#REF!</f>
        <v>#REF!</v>
      </c>
      <c r="E18" s="4" t="s">
        <v>665</v>
      </c>
      <c r="F18" s="4" t="s">
        <v>11</v>
      </c>
      <c r="G18" s="52">
        <v>1550</v>
      </c>
      <c r="H18" s="4"/>
      <c r="I18" s="4" t="s">
        <v>486</v>
      </c>
      <c r="J18" s="4" t="str">
        <f t="shared" si="2"/>
        <v>TAPL.1550</v>
      </c>
      <c r="K18" s="4" t="s">
        <v>11</v>
      </c>
      <c r="L18" s="4" t="str">
        <f t="shared" si="6"/>
        <v>1550::::UPFRONT ADMIN FEE - MURABAHA</v>
      </c>
      <c r="M18" s="4"/>
      <c r="N18" s="4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0</v>
      </c>
      <c r="AC18" s="4">
        <v>52172</v>
      </c>
      <c r="AD18" s="4">
        <v>3115</v>
      </c>
      <c r="AE18" s="4"/>
      <c r="AF18" s="4"/>
      <c r="AG18" s="8"/>
      <c r="AH18" s="13" t="str">
        <f t="shared" si="5"/>
        <v>TAPL.1550|DETAIL|1550::::UPFRONT ADMIN FEE - MURABAHA||4||||||||||||||PL|52172|3115|||</v>
      </c>
    </row>
    <row r="19" spans="1:34" x14ac:dyDescent="0.2">
      <c r="A19" s="21" t="s">
        <v>644</v>
      </c>
      <c r="B19" s="6" t="s">
        <v>86</v>
      </c>
      <c r="C19" s="6">
        <v>10</v>
      </c>
      <c r="D19" s="74" t="e">
        <f>+C19+#REF!</f>
        <v>#REF!</v>
      </c>
      <c r="E19" s="4" t="s">
        <v>666</v>
      </c>
      <c r="F19" s="4" t="s">
        <v>11</v>
      </c>
      <c r="G19" s="52">
        <v>1570</v>
      </c>
      <c r="H19" s="4"/>
      <c r="I19" s="4" t="s">
        <v>487</v>
      </c>
      <c r="J19" s="4" t="str">
        <f t="shared" si="2"/>
        <v>TAPL.1570</v>
      </c>
      <c r="K19" s="4" t="s">
        <v>11</v>
      </c>
      <c r="L19" s="4" t="str">
        <f t="shared" si="6"/>
        <v>1570::::UPFRONT ADMIN FEE - IJARAH</v>
      </c>
      <c r="M19" s="4"/>
      <c r="N19" s="4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0</v>
      </c>
      <c r="AC19" s="4">
        <v>52172</v>
      </c>
      <c r="AD19" s="4">
        <v>3116</v>
      </c>
      <c r="AE19" s="4"/>
      <c r="AF19" s="4"/>
      <c r="AG19" s="8"/>
      <c r="AH19" s="13" t="str">
        <f t="shared" si="5"/>
        <v>TAPL.1570|DETAIL|1570::::UPFRONT ADMIN FEE - IJARAH||4||||||||||||||PL|52172|3116|||</v>
      </c>
    </row>
    <row r="20" spans="1:34" x14ac:dyDescent="0.2">
      <c r="A20" s="64"/>
      <c r="B20" s="16" t="s">
        <v>86</v>
      </c>
      <c r="C20" s="16">
        <v>120</v>
      </c>
      <c r="D20" s="74">
        <v>1590</v>
      </c>
      <c r="E20" s="5" t="s">
        <v>667</v>
      </c>
      <c r="F20" s="5" t="s">
        <v>12</v>
      </c>
      <c r="G20" s="67" t="s">
        <v>30</v>
      </c>
      <c r="H20" s="5"/>
      <c r="I20" s="5" t="s">
        <v>489</v>
      </c>
      <c r="J20" s="5" t="str">
        <f t="shared" si="2"/>
        <v>TAPL.1590</v>
      </c>
      <c r="K20" s="5" t="s">
        <v>12</v>
      </c>
      <c r="L20" s="5" t="str">
        <f t="shared" si="6"/>
        <v>***::::TOT - UPFRONT ADMIN FEE</v>
      </c>
      <c r="M20" s="5">
        <v>4</v>
      </c>
      <c r="N20" s="5">
        <v>3</v>
      </c>
      <c r="O20" s="5"/>
      <c r="P20" s="5"/>
      <c r="Q20" s="5">
        <v>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9"/>
      <c r="AH20" s="13" t="str">
        <f t="shared" si="5"/>
        <v>TAPL.1590|TOTAL|***::::TOT - UPFRONT ADMIN FEE|4|3|||1||||||||||||||||</v>
      </c>
    </row>
    <row r="21" spans="1:34" x14ac:dyDescent="0.2">
      <c r="A21" s="56">
        <v>1.3</v>
      </c>
      <c r="B21" s="3" t="s">
        <v>86</v>
      </c>
      <c r="C21" s="3">
        <v>10</v>
      </c>
      <c r="D21" s="18">
        <v>1510</v>
      </c>
      <c r="E21" s="2" t="s">
        <v>668</v>
      </c>
      <c r="F21" s="2" t="s">
        <v>10</v>
      </c>
      <c r="G21" s="50" t="s">
        <v>22</v>
      </c>
      <c r="H21" s="2"/>
      <c r="I21" s="62" t="s">
        <v>490</v>
      </c>
      <c r="J21" s="2" t="str">
        <f t="shared" si="2"/>
        <v>TAPL.1610</v>
      </c>
      <c r="K21" s="2" t="s">
        <v>10</v>
      </c>
      <c r="L21" s="2" t="str">
        <f t="shared" ref="L21:L25" si="7">+_xlfn.TEXTJOIN("::",FALSE,G21:I21)</f>
        <v xml:space="preserve">**::::SCHEDULED ADMIN FEE </v>
      </c>
      <c r="M21" s="3"/>
      <c r="N21" s="2"/>
      <c r="O21" s="2"/>
      <c r="P21" s="2"/>
      <c r="Q21" s="2">
        <v>1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7"/>
      <c r="AH21" s="13" t="str">
        <f t="shared" si="5"/>
        <v>TAPL.1610|HEADING|**::::SCHEDULED ADMIN FEE |||||1||||||||||||||||</v>
      </c>
    </row>
    <row r="22" spans="1:34" x14ac:dyDescent="0.2">
      <c r="A22" s="21" t="s">
        <v>557</v>
      </c>
      <c r="B22" s="6" t="s">
        <v>86</v>
      </c>
      <c r="C22" s="6">
        <v>10</v>
      </c>
      <c r="D22" s="74" t="e">
        <f>+C22+#REF!</f>
        <v>#REF!</v>
      </c>
      <c r="E22" s="4" t="s">
        <v>669</v>
      </c>
      <c r="F22" s="4" t="s">
        <v>11</v>
      </c>
      <c r="G22" s="52">
        <v>1620</v>
      </c>
      <c r="H22" s="4"/>
      <c r="I22" s="4" t="s">
        <v>491</v>
      </c>
      <c r="J22" s="4" t="str">
        <f t="shared" si="2"/>
        <v>TAPL.1620</v>
      </c>
      <c r="K22" s="4" t="s">
        <v>11</v>
      </c>
      <c r="L22" s="4" t="str">
        <f t="shared" si="7"/>
        <v>1620::::SCHDLD ADMIN FEE - TAWARRUQ</v>
      </c>
      <c r="M22" s="4"/>
      <c r="N22" s="4">
        <v>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0</v>
      </c>
      <c r="AC22" s="4">
        <v>52173</v>
      </c>
      <c r="AD22" s="4">
        <v>3114</v>
      </c>
      <c r="AE22" s="4"/>
      <c r="AF22" s="4"/>
      <c r="AG22" s="8"/>
      <c r="AH22" s="13" t="str">
        <f t="shared" si="5"/>
        <v>TAPL.1620|DETAIL|1620::::SCHDLD ADMIN FEE - TAWARRUQ||4||||||||||||||PL|52173|3114|||</v>
      </c>
    </row>
    <row r="23" spans="1:34" x14ac:dyDescent="0.2">
      <c r="A23" s="21" t="s">
        <v>559</v>
      </c>
      <c r="B23" s="6" t="s">
        <v>86</v>
      </c>
      <c r="C23" s="6">
        <v>10</v>
      </c>
      <c r="D23" s="74" t="e">
        <f>+C23+#REF!</f>
        <v>#REF!</v>
      </c>
      <c r="E23" s="4" t="s">
        <v>682</v>
      </c>
      <c r="F23" s="4" t="s">
        <v>11</v>
      </c>
      <c r="G23" s="52">
        <v>1630</v>
      </c>
      <c r="H23" s="4"/>
      <c r="I23" s="4" t="s">
        <v>492</v>
      </c>
      <c r="J23" s="4" t="str">
        <f t="shared" si="2"/>
        <v>TAPL.1630</v>
      </c>
      <c r="K23" s="4" t="s">
        <v>11</v>
      </c>
      <c r="L23" s="4" t="str">
        <f t="shared" si="7"/>
        <v>1630::::SCHDLD ADMIN FEE - MURABAHA</v>
      </c>
      <c r="M23" s="4"/>
      <c r="N23" s="4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0</v>
      </c>
      <c r="AC23" s="4">
        <v>52173</v>
      </c>
      <c r="AD23" s="4">
        <v>3115</v>
      </c>
      <c r="AE23" s="4"/>
      <c r="AF23" s="4"/>
      <c r="AG23" s="8"/>
      <c r="AH23" s="13" t="str">
        <f t="shared" si="5"/>
        <v>TAPL.1630|DETAIL|1630::::SCHDLD ADMIN FEE - MURABAHA||4||||||||||||||PL|52173|3115|||</v>
      </c>
    </row>
    <row r="24" spans="1:34" x14ac:dyDescent="0.2">
      <c r="A24" s="21" t="s">
        <v>564</v>
      </c>
      <c r="B24" s="6" t="s">
        <v>86</v>
      </c>
      <c r="C24" s="6">
        <v>10</v>
      </c>
      <c r="D24" s="74" t="e">
        <f>+C24+#REF!</f>
        <v>#REF!</v>
      </c>
      <c r="E24" s="4" t="s">
        <v>670</v>
      </c>
      <c r="F24" s="4" t="s">
        <v>11</v>
      </c>
      <c r="G24" s="52">
        <v>1640</v>
      </c>
      <c r="H24" s="4"/>
      <c r="I24" s="4" t="s">
        <v>493</v>
      </c>
      <c r="J24" s="4" t="str">
        <f t="shared" si="2"/>
        <v>TAPL.1640</v>
      </c>
      <c r="K24" s="4" t="s">
        <v>11</v>
      </c>
      <c r="L24" s="4" t="str">
        <f t="shared" si="7"/>
        <v>1640::::SCHDLD ADMIN FEE - IJARAH</v>
      </c>
      <c r="M24" s="4"/>
      <c r="N24" s="4">
        <v>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0</v>
      </c>
      <c r="AC24" s="4">
        <v>52173</v>
      </c>
      <c r="AD24" s="4">
        <v>3116</v>
      </c>
      <c r="AE24" s="4"/>
      <c r="AF24" s="4"/>
      <c r="AG24" s="8"/>
      <c r="AH24" s="13" t="str">
        <f t="shared" si="5"/>
        <v>TAPL.1640|DETAIL|1640::::SCHDLD ADMIN FEE - IJARAH||4||||||||||||||PL|52173|3116|||</v>
      </c>
    </row>
    <row r="25" spans="1:34" x14ac:dyDescent="0.2">
      <c r="A25" s="64"/>
      <c r="B25" s="16" t="s">
        <v>86</v>
      </c>
      <c r="C25" s="16">
        <v>120</v>
      </c>
      <c r="D25" s="74">
        <v>1590</v>
      </c>
      <c r="E25" s="5" t="s">
        <v>671</v>
      </c>
      <c r="F25" s="5" t="s">
        <v>12</v>
      </c>
      <c r="G25" s="67" t="s">
        <v>30</v>
      </c>
      <c r="H25" s="5"/>
      <c r="I25" s="5" t="s">
        <v>494</v>
      </c>
      <c r="J25" s="5" t="str">
        <f t="shared" si="2"/>
        <v>TAPL.1700</v>
      </c>
      <c r="K25" s="5" t="s">
        <v>12</v>
      </c>
      <c r="L25" s="5" t="str">
        <f t="shared" si="7"/>
        <v xml:space="preserve">***::::TOT - SCHEDULED ADMIN FEE </v>
      </c>
      <c r="M25" s="5">
        <v>4</v>
      </c>
      <c r="N25" s="5">
        <v>4</v>
      </c>
      <c r="O25" s="5"/>
      <c r="P25" s="5"/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9"/>
      <c r="AH25" s="13" t="str">
        <f t="shared" si="5"/>
        <v>TAPL.1700|TOTAL|***::::TOT - SCHEDULED ADMIN FEE |4|4|||1||||||||||||||||</v>
      </c>
    </row>
    <row r="26" spans="1:34" x14ac:dyDescent="0.2">
      <c r="A26" s="56">
        <v>1.4</v>
      </c>
      <c r="B26" s="3" t="s">
        <v>86</v>
      </c>
      <c r="C26" s="3">
        <v>10</v>
      </c>
      <c r="D26" s="18">
        <v>1600</v>
      </c>
      <c r="E26" s="2" t="s">
        <v>683</v>
      </c>
      <c r="F26" s="2" t="s">
        <v>10</v>
      </c>
      <c r="G26" s="50" t="s">
        <v>22</v>
      </c>
      <c r="H26" s="2"/>
      <c r="I26" s="62" t="s">
        <v>68</v>
      </c>
      <c r="J26" s="2" t="str">
        <f t="shared" si="2"/>
        <v>TAPL.1900</v>
      </c>
      <c r="K26" s="2" t="s">
        <v>10</v>
      </c>
      <c r="L26" s="2" t="str">
        <f t="shared" si="1"/>
        <v>**::::FEES &amp; OTHER INCOME</v>
      </c>
      <c r="M26" s="3"/>
      <c r="N26" s="2"/>
      <c r="O26" s="2"/>
      <c r="P26" s="2"/>
      <c r="Q26" s="2">
        <v>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7"/>
      <c r="AH26" s="13" t="str">
        <f t="shared" si="5"/>
        <v>TAPL.1900|HEADING|**::::FEES &amp; OTHER INCOME|||||1||||||||||||||||</v>
      </c>
    </row>
    <row r="27" spans="1:34" x14ac:dyDescent="0.2">
      <c r="A27" s="21" t="s">
        <v>647</v>
      </c>
      <c r="B27" s="6" t="s">
        <v>86</v>
      </c>
      <c r="C27" s="6"/>
      <c r="D27" s="23"/>
      <c r="E27" s="4" t="s">
        <v>684</v>
      </c>
      <c r="F27" s="4" t="s">
        <v>11</v>
      </c>
      <c r="G27" s="53">
        <v>1910</v>
      </c>
      <c r="H27" s="4"/>
      <c r="I27" s="4" t="s">
        <v>241</v>
      </c>
      <c r="J27" s="4" t="str">
        <f t="shared" si="2"/>
        <v>TAPL.1910</v>
      </c>
      <c r="K27" s="4" t="s">
        <v>11</v>
      </c>
      <c r="L27" s="4" t="str">
        <f t="shared" si="1"/>
        <v>1910::::EARLT SETTLEMENT FEES</v>
      </c>
      <c r="M27" s="4"/>
      <c r="N27" s="4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0</v>
      </c>
      <c r="AC27" s="4">
        <v>52174</v>
      </c>
      <c r="AD27" s="4"/>
      <c r="AE27" s="4"/>
      <c r="AF27" s="4"/>
      <c r="AG27" s="8"/>
      <c r="AH27" s="13" t="str">
        <f t="shared" si="5"/>
        <v>TAPL.1910|DETAIL|1910::::EARLT SETTLEMENT FEES||4||||||||||||||PL|52174||||</v>
      </c>
    </row>
    <row r="28" spans="1:34" x14ac:dyDescent="0.2">
      <c r="A28" s="21" t="s">
        <v>648</v>
      </c>
      <c r="B28" s="6" t="s">
        <v>86</v>
      </c>
      <c r="C28" s="6"/>
      <c r="D28" s="23"/>
      <c r="E28" s="4" t="s">
        <v>685</v>
      </c>
      <c r="F28" s="4" t="s">
        <v>11</v>
      </c>
      <c r="G28" s="53">
        <v>1920</v>
      </c>
      <c r="H28" s="4"/>
      <c r="I28" s="4" t="s">
        <v>242</v>
      </c>
      <c r="J28" s="4" t="str">
        <f t="shared" si="2"/>
        <v>TAPL.1920</v>
      </c>
      <c r="K28" s="4" t="s">
        <v>11</v>
      </c>
      <c r="L28" s="4" t="str">
        <f t="shared" si="1"/>
        <v>1920::::BONUS/REBATE</v>
      </c>
      <c r="M28" s="4"/>
      <c r="N28" s="4">
        <v>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0</v>
      </c>
      <c r="AC28" s="4">
        <v>55113</v>
      </c>
      <c r="AD28" s="4"/>
      <c r="AE28" s="4"/>
      <c r="AF28" s="4"/>
      <c r="AG28" s="8"/>
      <c r="AH28" s="13" t="str">
        <f t="shared" si="5"/>
        <v>TAPL.1920|DETAIL|1920::::BONUS/REBATE||4||||||||||||||PL|55113||||</v>
      </c>
    </row>
    <row r="29" spans="1:34" x14ac:dyDescent="0.2">
      <c r="A29" s="21" t="s">
        <v>649</v>
      </c>
      <c r="B29" s="6" t="s">
        <v>86</v>
      </c>
      <c r="C29" s="6"/>
      <c r="D29" s="23"/>
      <c r="E29" s="4" t="s">
        <v>686</v>
      </c>
      <c r="F29" s="4" t="s">
        <v>11</v>
      </c>
      <c r="G29" s="53">
        <v>1930</v>
      </c>
      <c r="H29" s="4"/>
      <c r="I29" s="4" t="s">
        <v>243</v>
      </c>
      <c r="J29" s="4" t="str">
        <f t="shared" si="2"/>
        <v>TAPL.1930</v>
      </c>
      <c r="K29" s="4" t="s">
        <v>11</v>
      </c>
      <c r="L29" s="4" t="str">
        <f t="shared" si="1"/>
        <v>1930::::PARTIAL PAYMENT FEE</v>
      </c>
      <c r="M29" s="4"/>
      <c r="N29" s="4">
        <v>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744</v>
      </c>
      <c r="AC29" s="4" t="s">
        <v>745</v>
      </c>
      <c r="AD29" s="4"/>
      <c r="AE29" s="4"/>
      <c r="AF29" s="4"/>
      <c r="AG29" s="8"/>
      <c r="AH29" s="13" t="str">
        <f t="shared" si="5"/>
        <v>TAPL.1930|DETAIL|1930::::PARTIAL PAYMENT FEE||4||||||||||||||PL::PL|52175::52680||||</v>
      </c>
    </row>
    <row r="30" spans="1:34" x14ac:dyDescent="0.2">
      <c r="A30" s="21" t="s">
        <v>650</v>
      </c>
      <c r="B30" s="6" t="s">
        <v>86</v>
      </c>
      <c r="C30" s="6"/>
      <c r="D30" s="23"/>
      <c r="E30" s="4" t="s">
        <v>687</v>
      </c>
      <c r="F30" s="4" t="s">
        <v>11</v>
      </c>
      <c r="G30" s="53">
        <v>1940</v>
      </c>
      <c r="H30" s="4"/>
      <c r="I30" s="4" t="s">
        <v>244</v>
      </c>
      <c r="J30" s="4" t="str">
        <f t="shared" si="2"/>
        <v>TAPL.1940</v>
      </c>
      <c r="K30" s="4" t="s">
        <v>11</v>
      </c>
      <c r="L30" s="4" t="str">
        <f t="shared" si="1"/>
        <v>1940::::DISCOUNT FROM VENDOR</v>
      </c>
      <c r="M30" s="4"/>
      <c r="N30" s="4">
        <v>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0</v>
      </c>
      <c r="AC30" s="4">
        <v>55116</v>
      </c>
      <c r="AD30" s="4"/>
      <c r="AE30" s="4"/>
      <c r="AF30" s="4"/>
      <c r="AG30" s="8"/>
      <c r="AH30" s="13" t="str">
        <f t="shared" si="5"/>
        <v>TAPL.1940|DETAIL|1940::::DISCOUNT FROM VENDOR||4||||||||||||||PL|55116||||</v>
      </c>
    </row>
    <row r="31" spans="1:34" x14ac:dyDescent="0.2">
      <c r="A31" s="21" t="s">
        <v>651</v>
      </c>
      <c r="B31" s="6" t="s">
        <v>86</v>
      </c>
      <c r="C31" s="6"/>
      <c r="D31" s="23"/>
      <c r="E31" s="4" t="s">
        <v>688</v>
      </c>
      <c r="F31" s="4" t="s">
        <v>11</v>
      </c>
      <c r="G31" s="53">
        <v>1950</v>
      </c>
      <c r="H31" s="4"/>
      <c r="I31" s="4" t="s">
        <v>245</v>
      </c>
      <c r="J31" s="4" t="str">
        <f t="shared" si="2"/>
        <v>TAPL.1950</v>
      </c>
      <c r="K31" s="4" t="s">
        <v>11</v>
      </c>
      <c r="L31" s="4" t="str">
        <f t="shared" si="1"/>
        <v>1950::::INSURANCE REVENUE</v>
      </c>
      <c r="M31" s="4"/>
      <c r="N31" s="4">
        <v>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0</v>
      </c>
      <c r="AC31" s="4">
        <v>55123</v>
      </c>
      <c r="AD31" s="4"/>
      <c r="AE31" s="4"/>
      <c r="AF31" s="4"/>
      <c r="AG31" s="8"/>
      <c r="AH31" s="13" t="str">
        <f t="shared" si="5"/>
        <v>TAPL.1950|DETAIL|1950::::INSURANCE REVENUE||4||||||||||||||PL|55123||||</v>
      </c>
    </row>
    <row r="32" spans="1:34" x14ac:dyDescent="0.2">
      <c r="A32" s="21" t="s">
        <v>652</v>
      </c>
      <c r="B32" s="6" t="s">
        <v>86</v>
      </c>
      <c r="C32" s="6"/>
      <c r="D32" s="23"/>
      <c r="E32" s="4" t="s">
        <v>689</v>
      </c>
      <c r="F32" s="4" t="s">
        <v>11</v>
      </c>
      <c r="G32" s="53">
        <v>1960</v>
      </c>
      <c r="H32" s="4"/>
      <c r="I32" s="4" t="s">
        <v>246</v>
      </c>
      <c r="J32" s="4" t="str">
        <f t="shared" si="2"/>
        <v>TAPL.1960</v>
      </c>
      <c r="K32" s="4" t="s">
        <v>11</v>
      </c>
      <c r="L32" s="4" t="str">
        <f t="shared" si="1"/>
        <v>1960::::REPOSSION CHARGES</v>
      </c>
      <c r="M32" s="4"/>
      <c r="N32" s="4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0</v>
      </c>
      <c r="AC32" s="4">
        <v>55119</v>
      </c>
      <c r="AD32" s="4"/>
      <c r="AE32" s="4"/>
      <c r="AF32" s="4"/>
      <c r="AG32" s="8"/>
      <c r="AH32" s="13" t="str">
        <f t="shared" si="5"/>
        <v>TAPL.1960|DETAIL|1960::::REPOSSION CHARGES||4||||||||||||||PL|55119||||</v>
      </c>
    </row>
    <row r="33" spans="1:34" x14ac:dyDescent="0.2">
      <c r="A33" s="21" t="s">
        <v>653</v>
      </c>
      <c r="B33" s="6" t="s">
        <v>86</v>
      </c>
      <c r="C33" s="6"/>
      <c r="D33" s="23"/>
      <c r="E33" s="4" t="s">
        <v>690</v>
      </c>
      <c r="F33" s="4" t="s">
        <v>11</v>
      </c>
      <c r="G33" s="53">
        <v>1970</v>
      </c>
      <c r="H33" s="4"/>
      <c r="I33" s="4" t="s">
        <v>247</v>
      </c>
      <c r="J33" s="4" t="str">
        <f t="shared" si="2"/>
        <v>TAPL.1970</v>
      </c>
      <c r="K33" s="4" t="s">
        <v>11</v>
      </c>
      <c r="L33" s="4" t="str">
        <f t="shared" si="1"/>
        <v>1970::::REGISTRATION RENEWAL FEE</v>
      </c>
      <c r="M33" s="4"/>
      <c r="N33" s="4">
        <v>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0</v>
      </c>
      <c r="AC33" s="4">
        <v>55120</v>
      </c>
      <c r="AD33" s="4"/>
      <c r="AE33" s="4"/>
      <c r="AF33" s="4"/>
      <c r="AG33" s="8"/>
      <c r="AH33" s="13" t="str">
        <f t="shared" si="5"/>
        <v>TAPL.1970|DETAIL|1970::::REGISTRATION RENEWAL FEE||4||||||||||||||PL|55120||||</v>
      </c>
    </row>
    <row r="34" spans="1:34" x14ac:dyDescent="0.2">
      <c r="A34" s="21" t="s">
        <v>654</v>
      </c>
      <c r="B34" s="6" t="s">
        <v>86</v>
      </c>
      <c r="C34" s="6"/>
      <c r="D34" s="23"/>
      <c r="E34" s="4" t="s">
        <v>691</v>
      </c>
      <c r="F34" s="4" t="s">
        <v>11</v>
      </c>
      <c r="G34" s="53">
        <v>1980</v>
      </c>
      <c r="H34" s="4"/>
      <c r="I34" s="4" t="s">
        <v>248</v>
      </c>
      <c r="J34" s="4" t="str">
        <f t="shared" si="2"/>
        <v>TAPL.1980</v>
      </c>
      <c r="K34" s="4" t="s">
        <v>11</v>
      </c>
      <c r="L34" s="4" t="str">
        <f t="shared" si="1"/>
        <v>1980::::TRAFFIC VIOLATION FEE</v>
      </c>
      <c r="M34" s="4"/>
      <c r="N34" s="4">
        <v>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0</v>
      </c>
      <c r="AC34" s="4">
        <v>55121</v>
      </c>
      <c r="AD34" s="4"/>
      <c r="AE34" s="4"/>
      <c r="AF34" s="4"/>
      <c r="AG34" s="8"/>
      <c r="AH34" s="13" t="str">
        <f t="shared" si="5"/>
        <v>TAPL.1980|DETAIL|1980::::TRAFFIC VIOLATION FEE||4||||||||||||||PL|55121||||</v>
      </c>
    </row>
    <row r="35" spans="1:34" x14ac:dyDescent="0.2">
      <c r="A35" s="21" t="s">
        <v>655</v>
      </c>
      <c r="B35" s="6" t="s">
        <v>86</v>
      </c>
      <c r="C35" s="6"/>
      <c r="D35" s="23"/>
      <c r="E35" s="4" t="s">
        <v>692</v>
      </c>
      <c r="F35" s="4" t="s">
        <v>11</v>
      </c>
      <c r="G35" s="53">
        <v>1990</v>
      </c>
      <c r="H35" s="4"/>
      <c r="I35" s="4" t="s">
        <v>249</v>
      </c>
      <c r="J35" s="4" t="str">
        <f t="shared" si="2"/>
        <v>TAPL.1990</v>
      </c>
      <c r="K35" s="4" t="s">
        <v>11</v>
      </c>
      <c r="L35" s="4" t="str">
        <f t="shared" si="1"/>
        <v>1990::::DELAY TRANSFER FEE</v>
      </c>
      <c r="M35" s="4"/>
      <c r="N35" s="4">
        <v>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0</v>
      </c>
      <c r="AC35" s="4">
        <v>55122</v>
      </c>
      <c r="AD35" s="4"/>
      <c r="AE35" s="4"/>
      <c r="AF35" s="4"/>
      <c r="AG35" s="8"/>
      <c r="AH35" s="13" t="str">
        <f t="shared" si="5"/>
        <v>TAPL.1990|DETAIL|1990::::DELAY TRANSFER FEE||4||||||||||||||PL|55122||||</v>
      </c>
    </row>
    <row r="36" spans="1:34" x14ac:dyDescent="0.2">
      <c r="A36" s="21" t="s">
        <v>656</v>
      </c>
      <c r="B36" s="6" t="s">
        <v>86</v>
      </c>
      <c r="C36" s="6"/>
      <c r="D36" s="23"/>
      <c r="E36" s="4" t="s">
        <v>672</v>
      </c>
      <c r="F36" s="4" t="s">
        <v>11</v>
      </c>
      <c r="G36" s="53">
        <v>2000</v>
      </c>
      <c r="H36" s="4"/>
      <c r="I36" s="4" t="s">
        <v>250</v>
      </c>
      <c r="J36" s="4" t="str">
        <f t="shared" si="2"/>
        <v>TAPL.2000</v>
      </c>
      <c r="K36" s="4" t="s">
        <v>11</v>
      </c>
      <c r="L36" s="4" t="str">
        <f t="shared" si="1"/>
        <v>2000::::OTHER FEES</v>
      </c>
      <c r="M36" s="4"/>
      <c r="N36" s="4">
        <v>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0</v>
      </c>
      <c r="AC36" s="4">
        <v>55117</v>
      </c>
      <c r="AD36" s="4"/>
      <c r="AE36" s="4"/>
      <c r="AF36" s="4"/>
      <c r="AG36" s="8"/>
      <c r="AH36" s="13" t="str">
        <f t="shared" si="5"/>
        <v>TAPL.2000|DETAIL|2000::::OTHER FEES||4||||||||||||||PL|55117||||</v>
      </c>
    </row>
    <row r="37" spans="1:34" x14ac:dyDescent="0.2">
      <c r="A37" s="64"/>
      <c r="B37" s="16" t="s">
        <v>86</v>
      </c>
      <c r="C37" s="16">
        <v>120</v>
      </c>
      <c r="D37" s="16">
        <v>2000</v>
      </c>
      <c r="E37" s="5" t="s">
        <v>693</v>
      </c>
      <c r="F37" s="5" t="s">
        <v>12</v>
      </c>
      <c r="G37" s="67" t="s">
        <v>30</v>
      </c>
      <c r="H37" s="5"/>
      <c r="I37" s="5" t="s">
        <v>69</v>
      </c>
      <c r="J37" s="5" t="str">
        <f t="shared" si="2"/>
        <v>TAPL.2200</v>
      </c>
      <c r="K37" s="5" t="s">
        <v>12</v>
      </c>
      <c r="L37" s="5" t="str">
        <f t="shared" si="1"/>
        <v>***::::TOT - FEES &amp; OTHER INCOME</v>
      </c>
      <c r="M37" s="5">
        <v>4</v>
      </c>
      <c r="N37" s="5">
        <v>3</v>
      </c>
      <c r="O37" s="5"/>
      <c r="P37" s="5"/>
      <c r="Q37" s="5">
        <v>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9"/>
      <c r="AH37" s="13" t="str">
        <f t="shared" si="5"/>
        <v>TAPL.2200|TOTAL|***::::TOT - FEES &amp; OTHER INCOME|4|3|||1||||||||||||||||</v>
      </c>
    </row>
    <row r="38" spans="1:34" x14ac:dyDescent="0.2">
      <c r="A38" s="56">
        <v>1.4</v>
      </c>
      <c r="B38" s="3" t="s">
        <v>86</v>
      </c>
      <c r="C38" s="3">
        <v>10</v>
      </c>
      <c r="D38" s="18">
        <v>1600</v>
      </c>
      <c r="E38" s="2" t="s">
        <v>746</v>
      </c>
      <c r="F38" s="2" t="s">
        <v>10</v>
      </c>
      <c r="G38" s="50" t="s">
        <v>22</v>
      </c>
      <c r="H38" s="2"/>
      <c r="I38" s="62" t="s">
        <v>747</v>
      </c>
      <c r="J38" s="2" t="str">
        <f t="shared" ref="J38:J43" si="8">+E38</f>
        <v>TAPL.2210</v>
      </c>
      <c r="K38" s="2" t="s">
        <v>10</v>
      </c>
      <c r="L38" s="2" t="str">
        <f t="shared" ref="L38:L43" si="9">+_xlfn.TEXTJOIN("::",FALSE,G38:I38)</f>
        <v>**::::WRITE OFF EXPENSE RECOVERED</v>
      </c>
      <c r="M38" s="3"/>
      <c r="N38" s="2"/>
      <c r="O38" s="2"/>
      <c r="P38" s="2"/>
      <c r="Q38" s="2">
        <v>1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7"/>
      <c r="AH38" s="13" t="str">
        <f t="shared" ref="AH38:AH43" si="10">+_xlfn.TEXTJOIN("|",FALSE,J38:AG38)</f>
        <v>TAPL.2210|HEADING|**::::WRITE OFF EXPENSE RECOVERED|||||1||||||||||||||||</v>
      </c>
    </row>
    <row r="39" spans="1:34" x14ac:dyDescent="0.2">
      <c r="A39" s="21" t="s">
        <v>647</v>
      </c>
      <c r="B39" s="6" t="s">
        <v>86</v>
      </c>
      <c r="C39" s="6"/>
      <c r="D39" s="23"/>
      <c r="E39" s="36" t="str">
        <f t="shared" ref="E39:E42" si="11">_xlfn.CONCAT($B$1,G39)</f>
        <v>TAPL.2220</v>
      </c>
      <c r="F39" s="4" t="s">
        <v>11</v>
      </c>
      <c r="G39" s="53">
        <v>2220</v>
      </c>
      <c r="H39" s="4"/>
      <c r="I39" s="4" t="s">
        <v>748</v>
      </c>
      <c r="J39" s="4" t="str">
        <f t="shared" si="8"/>
        <v>TAPL.2220</v>
      </c>
      <c r="K39" s="4" t="s">
        <v>11</v>
      </c>
      <c r="L39" s="4" t="str">
        <f t="shared" si="9"/>
        <v>2220::::WRITE OFF RECOVERED - PRINCIPAL</v>
      </c>
      <c r="M39" s="4"/>
      <c r="N39" s="4">
        <v>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 t="s">
        <v>0</v>
      </c>
      <c r="AC39" s="4">
        <v>54211</v>
      </c>
      <c r="AD39" s="4"/>
      <c r="AE39" s="4"/>
      <c r="AF39" s="4"/>
      <c r="AG39" s="8"/>
      <c r="AH39" s="13" t="str">
        <f t="shared" si="10"/>
        <v>TAPL.2220|DETAIL|2220::::WRITE OFF RECOVERED - PRINCIPAL||4||||||||||||||PL|54211||||</v>
      </c>
    </row>
    <row r="40" spans="1:34" x14ac:dyDescent="0.2">
      <c r="A40" s="21" t="s">
        <v>648</v>
      </c>
      <c r="B40" s="6" t="s">
        <v>86</v>
      </c>
      <c r="C40" s="6"/>
      <c r="D40" s="23"/>
      <c r="E40" s="36" t="str">
        <f t="shared" si="11"/>
        <v>TAPL.2230</v>
      </c>
      <c r="F40" s="4" t="s">
        <v>11</v>
      </c>
      <c r="G40" s="53">
        <f>+G39+10</f>
        <v>2230</v>
      </c>
      <c r="H40" s="4"/>
      <c r="I40" s="4" t="s">
        <v>749</v>
      </c>
      <c r="J40" s="4" t="str">
        <f t="shared" si="8"/>
        <v>TAPL.2230</v>
      </c>
      <c r="K40" s="4" t="s">
        <v>11</v>
      </c>
      <c r="L40" s="4" t="str">
        <f t="shared" si="9"/>
        <v>2230::::WRITE OFF RECOVERED - PROFIT</v>
      </c>
      <c r="M40" s="4"/>
      <c r="N40" s="4">
        <v>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 t="s">
        <v>0</v>
      </c>
      <c r="AC40" s="4">
        <v>54212</v>
      </c>
      <c r="AD40" s="4"/>
      <c r="AE40" s="4"/>
      <c r="AF40" s="4"/>
      <c r="AG40" s="8"/>
      <c r="AH40" s="13" t="str">
        <f t="shared" si="10"/>
        <v>TAPL.2230|DETAIL|2230::::WRITE OFF RECOVERED - PROFIT||4||||||||||||||PL|54212||||</v>
      </c>
    </row>
    <row r="41" spans="1:34" x14ac:dyDescent="0.2">
      <c r="A41" s="21" t="s">
        <v>649</v>
      </c>
      <c r="B41" s="6" t="s">
        <v>86</v>
      </c>
      <c r="C41" s="6"/>
      <c r="D41" s="23"/>
      <c r="E41" s="36" t="str">
        <f t="shared" si="11"/>
        <v>TAPL.2240</v>
      </c>
      <c r="F41" s="4" t="s">
        <v>11</v>
      </c>
      <c r="G41" s="53">
        <f t="shared" ref="G41:G42" si="12">+G40+10</f>
        <v>2240</v>
      </c>
      <c r="H41" s="4"/>
      <c r="I41" s="4" t="s">
        <v>750</v>
      </c>
      <c r="J41" s="4" t="str">
        <f t="shared" si="8"/>
        <v>TAPL.2240</v>
      </c>
      <c r="K41" s="4" t="s">
        <v>11</v>
      </c>
      <c r="L41" s="4" t="str">
        <f t="shared" si="9"/>
        <v>2240::::WRITE OFF RECOVERED - CHARGS</v>
      </c>
      <c r="M41" s="4"/>
      <c r="N41" s="4">
        <v>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 t="s">
        <v>0</v>
      </c>
      <c r="AC41" s="4">
        <v>54213</v>
      </c>
      <c r="AD41" s="4"/>
      <c r="AE41" s="4"/>
      <c r="AF41" s="4"/>
      <c r="AG41" s="8"/>
      <c r="AH41" s="13" t="str">
        <f t="shared" si="10"/>
        <v>TAPL.2240|DETAIL|2240::::WRITE OFF RECOVERED - CHARGS||4||||||||||||||PL|54213||||</v>
      </c>
    </row>
    <row r="42" spans="1:34" x14ac:dyDescent="0.2">
      <c r="A42" s="21" t="s">
        <v>650</v>
      </c>
      <c r="B42" s="6" t="s">
        <v>86</v>
      </c>
      <c r="C42" s="6"/>
      <c r="D42" s="23"/>
      <c r="E42" s="36" t="str">
        <f t="shared" si="11"/>
        <v>TAPL.2250</v>
      </c>
      <c r="F42" s="4" t="s">
        <v>11</v>
      </c>
      <c r="G42" s="53">
        <f t="shared" si="12"/>
        <v>2250</v>
      </c>
      <c r="H42" s="4"/>
      <c r="I42" s="4" t="s">
        <v>751</v>
      </c>
      <c r="J42" s="4" t="str">
        <f t="shared" si="8"/>
        <v>TAPL.2250</v>
      </c>
      <c r="K42" s="4" t="s">
        <v>11</v>
      </c>
      <c r="L42" s="4" t="str">
        <f t="shared" si="9"/>
        <v>2250::::WRITE OFF RECOVERED - VAT</v>
      </c>
      <c r="M42" s="4"/>
      <c r="N42" s="4">
        <v>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0</v>
      </c>
      <c r="AC42" s="4">
        <v>54214</v>
      </c>
      <c r="AD42" s="4"/>
      <c r="AE42" s="4"/>
      <c r="AF42" s="4"/>
      <c r="AG42" s="8"/>
      <c r="AH42" s="13" t="str">
        <f t="shared" si="10"/>
        <v>TAPL.2250|DETAIL|2250::::WRITE OFF RECOVERED - VAT||4||||||||||||||PL|54214||||</v>
      </c>
    </row>
    <row r="43" spans="1:34" x14ac:dyDescent="0.2">
      <c r="A43" s="64"/>
      <c r="B43" s="16" t="s">
        <v>86</v>
      </c>
      <c r="C43" s="16">
        <v>120</v>
      </c>
      <c r="D43" s="16">
        <v>2000</v>
      </c>
      <c r="E43" s="36" t="s">
        <v>753</v>
      </c>
      <c r="F43" s="5" t="s">
        <v>12</v>
      </c>
      <c r="G43" s="67" t="s">
        <v>30</v>
      </c>
      <c r="H43" s="5"/>
      <c r="I43" s="5" t="s">
        <v>752</v>
      </c>
      <c r="J43" s="5" t="str">
        <f t="shared" si="8"/>
        <v>TAPL.2300</v>
      </c>
      <c r="K43" s="5" t="s">
        <v>12</v>
      </c>
      <c r="L43" s="5" t="str">
        <f t="shared" si="9"/>
        <v>***::::TOT - WRITE OFF EXPENSE RECOVERED</v>
      </c>
      <c r="M43" s="5">
        <v>4</v>
      </c>
      <c r="N43" s="5">
        <v>3</v>
      </c>
      <c r="O43" s="5"/>
      <c r="P43" s="5"/>
      <c r="Q43" s="5">
        <v>1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9"/>
      <c r="AH43" s="13" t="str">
        <f t="shared" si="10"/>
        <v>TAPL.2300|TOTAL|***::::TOT - WRITE OFF EXPENSE RECOVERED|4|3|||1||||||||||||||||</v>
      </c>
    </row>
    <row r="44" spans="1:34" x14ac:dyDescent="0.2">
      <c r="A44" s="64"/>
      <c r="B44" s="16" t="s">
        <v>86</v>
      </c>
      <c r="C44" s="16">
        <v>120</v>
      </c>
      <c r="D44" s="16">
        <v>4000</v>
      </c>
      <c r="E44" s="5" t="s">
        <v>673</v>
      </c>
      <c r="F44" s="5" t="s">
        <v>12</v>
      </c>
      <c r="G44" s="67" t="s">
        <v>103</v>
      </c>
      <c r="H44" s="5"/>
      <c r="I44" s="5" t="s">
        <v>70</v>
      </c>
      <c r="J44" s="5" t="str">
        <f t="shared" si="2"/>
        <v>TAPL.4000</v>
      </c>
      <c r="K44" s="5" t="s">
        <v>12</v>
      </c>
      <c r="L44" s="5" t="str">
        <f t="shared" si="1"/>
        <v>****::::TOT - PROFIT &amp; OTHER INCOME</v>
      </c>
      <c r="M44" s="5">
        <v>3</v>
      </c>
      <c r="N44" s="5">
        <v>2</v>
      </c>
      <c r="O44" s="5"/>
      <c r="P44" s="5"/>
      <c r="Q44" s="5">
        <v>2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9"/>
      <c r="AH44" s="13" t="str">
        <f t="shared" si="5"/>
        <v>TAPL.4000|TOTAL|****::::TOT - PROFIT &amp; OTHER INCOME|3|2|||2||||||||||||||||</v>
      </c>
    </row>
    <row r="45" spans="1:34" x14ac:dyDescent="0.2">
      <c r="A45" s="56">
        <v>2</v>
      </c>
      <c r="B45" s="3" t="s">
        <v>86</v>
      </c>
      <c r="C45" s="3">
        <v>10</v>
      </c>
      <c r="D45" s="18">
        <v>4010</v>
      </c>
      <c r="E45" s="2" t="s">
        <v>674</v>
      </c>
      <c r="F45" s="2" t="s">
        <v>10</v>
      </c>
      <c r="G45" s="50" t="s">
        <v>103</v>
      </c>
      <c r="H45" s="2"/>
      <c r="I45" s="62" t="s">
        <v>20</v>
      </c>
      <c r="J45" s="2" t="str">
        <f t="shared" si="2"/>
        <v>TAPL.4010</v>
      </c>
      <c r="K45" s="2" t="s">
        <v>10</v>
      </c>
      <c r="L45" s="2" t="str">
        <f t="shared" si="1"/>
        <v>****::::EXPENSES</v>
      </c>
      <c r="M45" s="3"/>
      <c r="N45" s="2"/>
      <c r="O45" s="2"/>
      <c r="P45" s="2"/>
      <c r="Q45" s="2">
        <v>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7"/>
      <c r="AH45" s="13" t="str">
        <f t="shared" si="5"/>
        <v>TAPL.4010|HEADING|****::::EXPENSES|||||2||||||||||||||||</v>
      </c>
    </row>
    <row r="46" spans="1:34" x14ac:dyDescent="0.2">
      <c r="A46" s="56">
        <v>2.1</v>
      </c>
      <c r="B46" s="3" t="s">
        <v>86</v>
      </c>
      <c r="C46" s="3">
        <v>10</v>
      </c>
      <c r="D46" s="18">
        <v>4050</v>
      </c>
      <c r="E46" s="2" t="s">
        <v>675</v>
      </c>
      <c r="F46" s="2" t="s">
        <v>10</v>
      </c>
      <c r="G46" s="50" t="s">
        <v>22</v>
      </c>
      <c r="H46" s="2"/>
      <c r="I46" s="62" t="s">
        <v>71</v>
      </c>
      <c r="J46" s="2" t="str">
        <f t="shared" si="2"/>
        <v>TAPL.4050</v>
      </c>
      <c r="K46" s="2" t="s">
        <v>10</v>
      </c>
      <c r="L46" s="2" t="str">
        <f t="shared" si="1"/>
        <v>**::::OPERATING EXPENSES</v>
      </c>
      <c r="M46" s="3"/>
      <c r="N46" s="2"/>
      <c r="O46" s="2"/>
      <c r="P46" s="2"/>
      <c r="Q46" s="2">
        <v>1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7"/>
      <c r="AH46" s="13" t="str">
        <f t="shared" si="5"/>
        <v>TAPL.4050|HEADING|**::::OPERATING EXPENSES|||||1||||||||||||||||</v>
      </c>
    </row>
    <row r="47" spans="1:34" x14ac:dyDescent="0.2">
      <c r="A47" s="56" t="s">
        <v>238</v>
      </c>
      <c r="B47" s="3" t="s">
        <v>86</v>
      </c>
      <c r="C47" s="3"/>
      <c r="D47" s="18">
        <v>4100</v>
      </c>
      <c r="E47" s="2" t="s">
        <v>315</v>
      </c>
      <c r="F47" s="2" t="s">
        <v>10</v>
      </c>
      <c r="G47" s="50" t="s">
        <v>22</v>
      </c>
      <c r="H47" s="2"/>
      <c r="I47" s="62" t="s">
        <v>264</v>
      </c>
      <c r="J47" s="2" t="str">
        <f t="shared" si="2"/>
        <v>TAPL.4100</v>
      </c>
      <c r="K47" s="2" t="s">
        <v>10</v>
      </c>
      <c r="L47" s="2" t="str">
        <f t="shared" si="1"/>
        <v>**::::GENERAL AND BUSINESS EXPENSES</v>
      </c>
      <c r="M47" s="3"/>
      <c r="N47" s="2"/>
      <c r="O47" s="2"/>
      <c r="P47" s="2"/>
      <c r="Q47" s="2">
        <v>1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7"/>
      <c r="AH47" s="13" t="str">
        <f t="shared" si="5"/>
        <v>TAPL.4100|HEADING|**::::GENERAL AND BUSINESS EXPENSES|||||1||||||||||||||||</v>
      </c>
    </row>
    <row r="48" spans="1:34" x14ac:dyDescent="0.2">
      <c r="A48" s="21" t="s">
        <v>266</v>
      </c>
      <c r="B48" s="6" t="s">
        <v>86</v>
      </c>
      <c r="C48" s="6"/>
      <c r="D48" s="23">
        <v>4110</v>
      </c>
      <c r="E48" s="4" t="s">
        <v>316</v>
      </c>
      <c r="F48" s="4" t="s">
        <v>11</v>
      </c>
      <c r="G48" s="53">
        <v>4110</v>
      </c>
      <c r="H48" s="4"/>
      <c r="I48" s="4" t="s">
        <v>256</v>
      </c>
      <c r="J48" s="4" t="str">
        <f t="shared" si="2"/>
        <v>TAPL.4110</v>
      </c>
      <c r="K48" s="4" t="s">
        <v>11</v>
      </c>
      <c r="L48" s="4" t="str">
        <f t="shared" si="1"/>
        <v>4110::::INSURANCE COST</v>
      </c>
      <c r="M48" s="4"/>
      <c r="N48" s="4">
        <v>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0</v>
      </c>
      <c r="AC48" s="4">
        <v>55589</v>
      </c>
      <c r="AD48" s="4"/>
      <c r="AE48" s="4"/>
      <c r="AF48" s="4"/>
      <c r="AG48" s="8"/>
      <c r="AH48" s="13" t="str">
        <f t="shared" si="5"/>
        <v>TAPL.4110|DETAIL|4110::::INSURANCE COST||5||||||||||||||PL|55589||||</v>
      </c>
    </row>
    <row r="49" spans="1:34" x14ac:dyDescent="0.2">
      <c r="A49" s="21" t="s">
        <v>267</v>
      </c>
      <c r="B49" s="6" t="s">
        <v>86</v>
      </c>
      <c r="C49" s="6"/>
      <c r="D49" s="23"/>
      <c r="E49" s="4" t="s">
        <v>317</v>
      </c>
      <c r="F49" s="4" t="s">
        <v>11</v>
      </c>
      <c r="G49" s="53">
        <v>4120</v>
      </c>
      <c r="H49" s="4"/>
      <c r="I49" s="4" t="s">
        <v>251</v>
      </c>
      <c r="J49" s="4" t="str">
        <f t="shared" si="2"/>
        <v>TAPL.4120</v>
      </c>
      <c r="K49" s="4" t="s">
        <v>11</v>
      </c>
      <c r="L49" s="4" t="str">
        <f t="shared" si="1"/>
        <v>4120::::LEGAL FEES</v>
      </c>
      <c r="M49" s="4"/>
      <c r="N49" s="4">
        <v>5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0</v>
      </c>
      <c r="AC49" s="4">
        <v>55118</v>
      </c>
      <c r="AD49" s="4"/>
      <c r="AE49" s="4"/>
      <c r="AF49" s="4"/>
      <c r="AG49" s="8"/>
      <c r="AH49" s="13" t="str">
        <f t="shared" si="5"/>
        <v>TAPL.4120|DETAIL|4120::::LEGAL FEES||5||||||||||||||PL|55118||||</v>
      </c>
    </row>
    <row r="50" spans="1:34" x14ac:dyDescent="0.2">
      <c r="A50" s="21" t="s">
        <v>268</v>
      </c>
      <c r="B50" s="6" t="s">
        <v>86</v>
      </c>
      <c r="C50" s="6"/>
      <c r="D50" s="23"/>
      <c r="E50" s="4" t="s">
        <v>318</v>
      </c>
      <c r="F50" s="4" t="s">
        <v>11</v>
      </c>
      <c r="G50" s="53">
        <v>4130</v>
      </c>
      <c r="H50" s="4"/>
      <c r="I50" s="4" t="s">
        <v>257</v>
      </c>
      <c r="J50" s="4" t="str">
        <f t="shared" si="2"/>
        <v>TAPL.4130</v>
      </c>
      <c r="K50" s="4" t="s">
        <v>11</v>
      </c>
      <c r="L50" s="4" t="str">
        <f t="shared" si="1"/>
        <v>4130::::BROKERAGE FEE EXPENSE</v>
      </c>
      <c r="M50" s="4"/>
      <c r="N50" s="4">
        <v>5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0</v>
      </c>
      <c r="AC50" s="4">
        <v>55115</v>
      </c>
      <c r="AD50" s="4"/>
      <c r="AE50" s="4"/>
      <c r="AF50" s="4"/>
      <c r="AG50" s="8"/>
      <c r="AH50" s="13" t="str">
        <f t="shared" si="5"/>
        <v>TAPL.4130|DETAIL|4130::::BROKERAGE FEE EXPENSE||5||||||||||||||PL|55115||||</v>
      </c>
    </row>
    <row r="51" spans="1:34" x14ac:dyDescent="0.2">
      <c r="A51" s="21" t="s">
        <v>645</v>
      </c>
      <c r="B51" s="6" t="s">
        <v>86</v>
      </c>
      <c r="C51" s="6"/>
      <c r="D51" s="23"/>
      <c r="E51" s="4" t="s">
        <v>480</v>
      </c>
      <c r="F51" s="4" t="s">
        <v>11</v>
      </c>
      <c r="G51" s="53">
        <v>4140</v>
      </c>
      <c r="H51" s="4"/>
      <c r="I51" s="4" t="s">
        <v>708</v>
      </c>
      <c r="J51" s="4" t="str">
        <f t="shared" si="2"/>
        <v>TAPL.4140</v>
      </c>
      <c r="K51" s="4" t="s">
        <v>11</v>
      </c>
      <c r="L51" s="4" t="str">
        <f t="shared" ref="L51" si="13">+_xlfn.TEXTJOIN("::",FALSE,G51:I51)</f>
        <v>4140::::ROSOM FEE</v>
      </c>
      <c r="M51" s="4"/>
      <c r="N51" s="4">
        <v>5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0</v>
      </c>
      <c r="AC51" s="4">
        <v>62006</v>
      </c>
      <c r="AD51" s="4"/>
      <c r="AE51" s="4"/>
      <c r="AF51" s="4"/>
      <c r="AG51" s="8"/>
      <c r="AH51" s="13" t="str">
        <f t="shared" si="5"/>
        <v>TAPL.4140|DETAIL|4140::::ROSOM FEE||5||||||||||||||PL|62006||||</v>
      </c>
    </row>
    <row r="52" spans="1:34" x14ac:dyDescent="0.2">
      <c r="A52" s="21" t="s">
        <v>646</v>
      </c>
      <c r="B52" s="6" t="s">
        <v>86</v>
      </c>
      <c r="C52" s="6"/>
      <c r="D52" s="23"/>
      <c r="E52" s="4" t="s">
        <v>481</v>
      </c>
      <c r="F52" s="4" t="s">
        <v>11</v>
      </c>
      <c r="G52" s="53">
        <v>4150</v>
      </c>
      <c r="H52" s="4"/>
      <c r="I52" s="4" t="s">
        <v>482</v>
      </c>
      <c r="J52" s="4" t="str">
        <f t="shared" si="2"/>
        <v>TAPL.4150</v>
      </c>
      <c r="K52" s="4" t="s">
        <v>11</v>
      </c>
      <c r="L52" s="4" t="str">
        <f t="shared" ref="L52" si="14">+_xlfn.TEXTJOIN("::",FALSE,G52:I52)</f>
        <v>4150::::SADAD FEE</v>
      </c>
      <c r="M52" s="4"/>
      <c r="N52" s="4">
        <v>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0</v>
      </c>
      <c r="AC52" s="4">
        <v>62045</v>
      </c>
      <c r="AD52" s="4"/>
      <c r="AE52" s="4"/>
      <c r="AF52" s="4"/>
      <c r="AG52" s="8"/>
      <c r="AH52" s="13" t="str">
        <f t="shared" si="5"/>
        <v>TAPL.4150|DETAIL|4150::::SADAD FEE||5||||||||||||||PL|62045||||</v>
      </c>
    </row>
    <row r="53" spans="1:34" s="98" customFormat="1" x14ac:dyDescent="0.2">
      <c r="A53" s="100" t="s">
        <v>728</v>
      </c>
      <c r="B53" s="93" t="s">
        <v>86</v>
      </c>
      <c r="C53" s="93"/>
      <c r="D53" s="101"/>
      <c r="E53" s="92" t="s">
        <v>729</v>
      </c>
      <c r="F53" s="92" t="s">
        <v>11</v>
      </c>
      <c r="G53" s="94">
        <v>4160</v>
      </c>
      <c r="H53" s="92"/>
      <c r="I53" s="92" t="s">
        <v>730</v>
      </c>
      <c r="J53" s="92" t="str">
        <f t="shared" ref="J53" si="15">+E53</f>
        <v>TAPL.4160</v>
      </c>
      <c r="K53" s="92" t="s">
        <v>11</v>
      </c>
      <c r="L53" s="92" t="str">
        <f t="shared" ref="L53" si="16">+_xlfn.TEXTJOIN("::",FALSE,G53:I53)</f>
        <v>4160::::MARKETING EXPENSE</v>
      </c>
      <c r="M53" s="92"/>
      <c r="N53" s="92">
        <v>5</v>
      </c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 t="s">
        <v>0</v>
      </c>
      <c r="AC53" s="92">
        <v>62045</v>
      </c>
      <c r="AD53" s="92"/>
      <c r="AE53" s="92"/>
      <c r="AF53" s="92"/>
      <c r="AG53" s="97"/>
      <c r="AH53" s="102" t="str">
        <f t="shared" ref="AH53" si="17">+_xlfn.TEXTJOIN("|",FALSE,J53:AG53)</f>
        <v>TAPL.4160|DETAIL|4160::::MARKETING EXPENSE||5||||||||||||||PL|62045||||</v>
      </c>
    </row>
    <row r="54" spans="1:34" x14ac:dyDescent="0.2">
      <c r="A54" s="64"/>
      <c r="B54" s="16" t="s">
        <v>86</v>
      </c>
      <c r="C54" s="16"/>
      <c r="D54" s="19"/>
      <c r="E54" s="5" t="s">
        <v>361</v>
      </c>
      <c r="F54" s="5" t="s">
        <v>12</v>
      </c>
      <c r="G54" s="67" t="s">
        <v>30</v>
      </c>
      <c r="H54" s="5"/>
      <c r="I54" s="5" t="s">
        <v>265</v>
      </c>
      <c r="J54" s="5" t="str">
        <f t="shared" si="2"/>
        <v>TAPL.4500</v>
      </c>
      <c r="K54" s="5" t="s">
        <v>12</v>
      </c>
      <c r="L54" s="5" t="str">
        <f t="shared" si="1"/>
        <v>***::::TOT - GENERAL AND BUSINESS EXP</v>
      </c>
      <c r="M54" s="5">
        <v>5</v>
      </c>
      <c r="N54" s="5">
        <v>4</v>
      </c>
      <c r="O54" s="5"/>
      <c r="P54" s="5"/>
      <c r="Q54" s="5">
        <v>1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9"/>
      <c r="AH54" s="13" t="str">
        <f t="shared" si="5"/>
        <v>TAPL.4500|TOTAL|***::::TOT - GENERAL AND BUSINESS EXP|5|4|||1||||||||||||||||</v>
      </c>
    </row>
    <row r="55" spans="1:34" x14ac:dyDescent="0.2">
      <c r="A55" s="56" t="s">
        <v>239</v>
      </c>
      <c r="B55" s="3" t="s">
        <v>86</v>
      </c>
      <c r="C55" s="3"/>
      <c r="D55" s="18"/>
      <c r="E55" s="2" t="s">
        <v>368</v>
      </c>
      <c r="F55" s="2" t="s">
        <v>10</v>
      </c>
      <c r="G55" s="50" t="s">
        <v>22</v>
      </c>
      <c r="H55" s="2"/>
      <c r="I55" s="62" t="s">
        <v>258</v>
      </c>
      <c r="J55" s="2" t="str">
        <f t="shared" si="2"/>
        <v>TAPL.4550</v>
      </c>
      <c r="K55" s="2" t="s">
        <v>10</v>
      </c>
      <c r="L55" s="2" t="str">
        <f t="shared" ref="L55:L102" si="18">+_xlfn.TEXTJOIN("::",FALSE,G55:I55)</f>
        <v>**::::API EXPENSES</v>
      </c>
      <c r="M55" s="3"/>
      <c r="N55" s="2"/>
      <c r="O55" s="2"/>
      <c r="P55" s="2"/>
      <c r="Q55" s="2">
        <v>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7"/>
      <c r="AH55" s="13" t="str">
        <f t="shared" si="5"/>
        <v>TAPL.4550|HEADING|**::::API EXPENSES|||||1||||||||||||||||</v>
      </c>
    </row>
    <row r="56" spans="1:34" x14ac:dyDescent="0.2">
      <c r="A56" s="56" t="s">
        <v>269</v>
      </c>
      <c r="B56" s="3" t="s">
        <v>86</v>
      </c>
      <c r="C56" s="3"/>
      <c r="D56" s="18"/>
      <c r="E56" s="2" t="s">
        <v>369</v>
      </c>
      <c r="F56" s="2" t="s">
        <v>10</v>
      </c>
      <c r="G56" s="50" t="s">
        <v>22</v>
      </c>
      <c r="H56" s="2"/>
      <c r="I56" s="62" t="s">
        <v>504</v>
      </c>
      <c r="J56" s="2" t="str">
        <f t="shared" si="2"/>
        <v>TAPL.4600</v>
      </c>
      <c r="K56" s="2" t="s">
        <v>10</v>
      </c>
      <c r="L56" s="2" t="str">
        <f t="shared" si="18"/>
        <v>**::::GENERAL API EXPENSE</v>
      </c>
      <c r="M56" s="3"/>
      <c r="N56" s="2"/>
      <c r="O56" s="2"/>
      <c r="P56" s="2"/>
      <c r="Q56" s="2">
        <v>1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7"/>
      <c r="AH56" s="13" t="str">
        <f t="shared" si="5"/>
        <v>TAPL.4600|HEADING|**::::GENERAL API EXPENSE|||||1||||||||||||||||</v>
      </c>
    </row>
    <row r="57" spans="1:34" x14ac:dyDescent="0.2">
      <c r="A57" s="21" t="s">
        <v>270</v>
      </c>
      <c r="B57" s="6" t="s">
        <v>86</v>
      </c>
      <c r="C57" s="6"/>
      <c r="D57" s="23"/>
      <c r="E57" s="4" t="s">
        <v>319</v>
      </c>
      <c r="F57" s="4" t="s">
        <v>11</v>
      </c>
      <c r="G57" s="53">
        <v>4610</v>
      </c>
      <c r="H57" s="4"/>
      <c r="I57" s="4" t="s">
        <v>259</v>
      </c>
      <c r="J57" s="4" t="str">
        <f t="shared" si="2"/>
        <v>TAPL.4610</v>
      </c>
      <c r="K57" s="4" t="s">
        <v>11</v>
      </c>
      <c r="L57" s="4" t="str">
        <f t="shared" si="18"/>
        <v>4610::::ELM YAKEEN</v>
      </c>
      <c r="M57" s="4"/>
      <c r="N57" s="4">
        <v>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0</v>
      </c>
      <c r="AC57" s="4">
        <v>55551</v>
      </c>
      <c r="AD57" s="4"/>
      <c r="AE57" s="4"/>
      <c r="AF57" s="4"/>
      <c r="AG57" s="8"/>
      <c r="AH57" s="13" t="str">
        <f t="shared" si="5"/>
        <v>TAPL.4610|DETAIL|4610::::ELM YAKEEN||6||||||||||||||PL|55551||||</v>
      </c>
    </row>
    <row r="58" spans="1:34" x14ac:dyDescent="0.2">
      <c r="A58" s="21" t="s">
        <v>271</v>
      </c>
      <c r="B58" s="6" t="s">
        <v>86</v>
      </c>
      <c r="C58" s="6"/>
      <c r="D58" s="23"/>
      <c r="E58" s="4" t="s">
        <v>320</v>
      </c>
      <c r="F58" s="4" t="s">
        <v>11</v>
      </c>
      <c r="G58" s="53">
        <v>4620</v>
      </c>
      <c r="H58" s="4"/>
      <c r="I58" s="4" t="s">
        <v>260</v>
      </c>
      <c r="J58" s="4" t="str">
        <f t="shared" si="2"/>
        <v>TAPL.4620</v>
      </c>
      <c r="K58" s="4" t="s">
        <v>11</v>
      </c>
      <c r="L58" s="4" t="str">
        <f t="shared" si="18"/>
        <v>4620::::ELM NAFATH BIOMETRICS</v>
      </c>
      <c r="M58" s="4"/>
      <c r="N58" s="4">
        <v>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0</v>
      </c>
      <c r="AC58" s="4">
        <v>55552</v>
      </c>
      <c r="AD58" s="4"/>
      <c r="AE58" s="4"/>
      <c r="AF58" s="4"/>
      <c r="AG58" s="8"/>
      <c r="AH58" s="13" t="str">
        <f t="shared" si="5"/>
        <v>TAPL.4620|DETAIL|4620::::ELM NAFATH BIOMETRICS||6||||||||||||||PL|55552||||</v>
      </c>
    </row>
    <row r="59" spans="1:34" x14ac:dyDescent="0.2">
      <c r="A59" s="21" t="s">
        <v>272</v>
      </c>
      <c r="B59" s="6" t="s">
        <v>86</v>
      </c>
      <c r="C59" s="6"/>
      <c r="D59" s="23"/>
      <c r="E59" s="4" t="s">
        <v>321</v>
      </c>
      <c r="F59" s="4" t="s">
        <v>11</v>
      </c>
      <c r="G59" s="53">
        <v>4630</v>
      </c>
      <c r="H59" s="4"/>
      <c r="I59" s="4" t="s">
        <v>261</v>
      </c>
      <c r="J59" s="4" t="str">
        <f t="shared" si="2"/>
        <v>TAPL.4630</v>
      </c>
      <c r="K59" s="4" t="s">
        <v>11</v>
      </c>
      <c r="L59" s="4" t="str">
        <f t="shared" si="18"/>
        <v>4630::::ELM TAHQOOQ</v>
      </c>
      <c r="M59" s="4"/>
      <c r="N59" s="4">
        <v>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0</v>
      </c>
      <c r="AC59" s="4">
        <v>55553</v>
      </c>
      <c r="AD59" s="4"/>
      <c r="AE59" s="4"/>
      <c r="AF59" s="4"/>
      <c r="AG59" s="8"/>
      <c r="AH59" s="13" t="str">
        <f t="shared" si="5"/>
        <v>TAPL.4630|DETAIL|4630::::ELM TAHQOOQ||6||||||||||||||PL|55553||||</v>
      </c>
    </row>
    <row r="60" spans="1:34" x14ac:dyDescent="0.2">
      <c r="A60" s="21" t="s">
        <v>273</v>
      </c>
      <c r="B60" s="6" t="s">
        <v>86</v>
      </c>
      <c r="C60" s="6"/>
      <c r="D60" s="23"/>
      <c r="E60" s="4" t="s">
        <v>322</v>
      </c>
      <c r="F60" s="4" t="s">
        <v>11</v>
      </c>
      <c r="G60" s="53">
        <v>4640</v>
      </c>
      <c r="H60" s="4"/>
      <c r="I60" s="4" t="s">
        <v>262</v>
      </c>
      <c r="J60" s="4" t="str">
        <f t="shared" si="2"/>
        <v>TAPL.4640</v>
      </c>
      <c r="K60" s="4" t="s">
        <v>11</v>
      </c>
      <c r="L60" s="4" t="str">
        <f t="shared" si="18"/>
        <v>4640::::SAP GENERAL EXPENSES</v>
      </c>
      <c r="M60" s="4"/>
      <c r="N60" s="4">
        <v>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0</v>
      </c>
      <c r="AC60" s="4">
        <v>55554</v>
      </c>
      <c r="AD60" s="4"/>
      <c r="AE60" s="4"/>
      <c r="AF60" s="4"/>
      <c r="AG60" s="8"/>
      <c r="AH60" s="13" t="str">
        <f t="shared" si="5"/>
        <v>TAPL.4640|DETAIL|4640::::SAP GENERAL EXPENSES||6||||||||||||||PL|55554||||</v>
      </c>
    </row>
    <row r="61" spans="1:34" x14ac:dyDescent="0.2">
      <c r="A61" s="64"/>
      <c r="B61" s="16" t="s">
        <v>86</v>
      </c>
      <c r="C61" s="16"/>
      <c r="D61" s="19"/>
      <c r="E61" s="5" t="s">
        <v>362</v>
      </c>
      <c r="F61" s="5" t="s">
        <v>12</v>
      </c>
      <c r="G61" s="67" t="s">
        <v>30</v>
      </c>
      <c r="H61" s="5"/>
      <c r="I61" s="5" t="s">
        <v>505</v>
      </c>
      <c r="J61" s="5" t="str">
        <f t="shared" si="2"/>
        <v>TAPL.4800</v>
      </c>
      <c r="K61" s="5" t="s">
        <v>12</v>
      </c>
      <c r="L61" s="5" t="str">
        <f t="shared" si="18"/>
        <v>***::::TOT - GENERAL API EXPENSE</v>
      </c>
      <c r="M61" s="5">
        <v>5</v>
      </c>
      <c r="N61" s="5">
        <v>6</v>
      </c>
      <c r="O61" s="5"/>
      <c r="P61" s="5"/>
      <c r="Q61" s="5">
        <v>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9"/>
      <c r="AH61" s="13" t="str">
        <f t="shared" si="5"/>
        <v>TAPL.4800|TOTAL|***::::TOT - GENERAL API EXPENSE|5|6|||1||||||||||||||||</v>
      </c>
    </row>
    <row r="62" spans="1:34" x14ac:dyDescent="0.2">
      <c r="A62" s="56" t="s">
        <v>278</v>
      </c>
      <c r="B62" s="3" t="s">
        <v>86</v>
      </c>
      <c r="C62" s="3"/>
      <c r="D62" s="18"/>
      <c r="E62" s="2" t="s">
        <v>370</v>
      </c>
      <c r="F62" s="2" t="s">
        <v>10</v>
      </c>
      <c r="G62" s="50" t="s">
        <v>22</v>
      </c>
      <c r="H62" s="2"/>
      <c r="I62" s="62" t="s">
        <v>537</v>
      </c>
      <c r="J62" s="2" t="str">
        <f t="shared" si="2"/>
        <v>TAPL.5000</v>
      </c>
      <c r="K62" s="2" t="s">
        <v>10</v>
      </c>
      <c r="L62" s="2" t="str">
        <f t="shared" si="18"/>
        <v>**::::TAWARRUQ API EXPENSE</v>
      </c>
      <c r="M62" s="3"/>
      <c r="N62" s="2"/>
      <c r="O62" s="2"/>
      <c r="P62" s="2"/>
      <c r="Q62" s="2">
        <v>1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7"/>
      <c r="AH62" s="13" t="str">
        <f t="shared" si="5"/>
        <v>TAPL.5000|HEADING|**::::TAWARRUQ API EXPENSE|||||1||||||||||||||||</v>
      </c>
    </row>
    <row r="63" spans="1:34" x14ac:dyDescent="0.2">
      <c r="A63" s="21" t="s">
        <v>279</v>
      </c>
      <c r="B63" s="6" t="s">
        <v>86</v>
      </c>
      <c r="C63" s="6"/>
      <c r="D63" s="23"/>
      <c r="E63" s="4" t="s">
        <v>323</v>
      </c>
      <c r="F63" s="4" t="s">
        <v>11</v>
      </c>
      <c r="G63" s="53">
        <v>5010</v>
      </c>
      <c r="H63" s="4"/>
      <c r="I63" s="4" t="s">
        <v>506</v>
      </c>
      <c r="J63" s="4" t="str">
        <f t="shared" si="2"/>
        <v>TAPL.5010</v>
      </c>
      <c r="K63" s="4" t="s">
        <v>11</v>
      </c>
      <c r="L63" s="4" t="str">
        <f t="shared" si="18"/>
        <v>5010::::TAWARRUQ - EMDAH</v>
      </c>
      <c r="M63" s="4"/>
      <c r="N63" s="4">
        <v>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0</v>
      </c>
      <c r="AC63" s="4">
        <v>55555</v>
      </c>
      <c r="AD63" s="4"/>
      <c r="AE63" s="4"/>
      <c r="AF63" s="4"/>
      <c r="AG63" s="8"/>
      <c r="AH63" s="13" t="str">
        <f t="shared" si="5"/>
        <v>TAPL.5010|DETAIL|5010::::TAWARRUQ - EMDAH||6||||||||||||||PL|55555||||</v>
      </c>
    </row>
    <row r="64" spans="1:34" x14ac:dyDescent="0.2">
      <c r="A64" s="21" t="s">
        <v>280</v>
      </c>
      <c r="B64" s="6" t="s">
        <v>86</v>
      </c>
      <c r="C64" s="6"/>
      <c r="D64" s="23"/>
      <c r="E64" s="4" t="s">
        <v>324</v>
      </c>
      <c r="F64" s="4" t="s">
        <v>11</v>
      </c>
      <c r="G64" s="53">
        <v>5020</v>
      </c>
      <c r="H64" s="4"/>
      <c r="I64" s="4" t="s">
        <v>507</v>
      </c>
      <c r="J64" s="4" t="str">
        <f t="shared" si="2"/>
        <v>TAPL.5020</v>
      </c>
      <c r="K64" s="4" t="s">
        <v>11</v>
      </c>
      <c r="L64" s="4" t="str">
        <f t="shared" si="18"/>
        <v>5020::::TAWARRUQ - IVR</v>
      </c>
      <c r="M64" s="4"/>
      <c r="N64" s="4">
        <v>6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0</v>
      </c>
      <c r="AC64" s="4">
        <v>55558</v>
      </c>
      <c r="AD64" s="4"/>
      <c r="AE64" s="4"/>
      <c r="AF64" s="4"/>
      <c r="AG64" s="8"/>
      <c r="AH64" s="13" t="str">
        <f t="shared" si="5"/>
        <v>TAPL.5020|DETAIL|5020::::TAWARRUQ - IVR||6||||||||||||||PL|55558||||</v>
      </c>
    </row>
    <row r="65" spans="1:34" x14ac:dyDescent="0.2">
      <c r="A65" s="21" t="s">
        <v>281</v>
      </c>
      <c r="B65" s="6" t="s">
        <v>86</v>
      </c>
      <c r="C65" s="6"/>
      <c r="D65" s="23"/>
      <c r="E65" s="4" t="s">
        <v>325</v>
      </c>
      <c r="F65" s="4" t="s">
        <v>11</v>
      </c>
      <c r="G65" s="53">
        <v>5030</v>
      </c>
      <c r="H65" s="4"/>
      <c r="I65" s="4" t="s">
        <v>508</v>
      </c>
      <c r="J65" s="4" t="str">
        <f t="shared" si="2"/>
        <v>TAPL.5030</v>
      </c>
      <c r="K65" s="4" t="s">
        <v>11</v>
      </c>
      <c r="L65" s="4" t="str">
        <f t="shared" si="18"/>
        <v>5030::::TAWARRUQ - SMS</v>
      </c>
      <c r="M65" s="4"/>
      <c r="N65" s="4">
        <v>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0</v>
      </c>
      <c r="AC65" s="4">
        <v>55561</v>
      </c>
      <c r="AD65" s="4"/>
      <c r="AE65" s="4"/>
      <c r="AF65" s="4"/>
      <c r="AG65" s="8"/>
      <c r="AH65" s="13" t="str">
        <f t="shared" si="5"/>
        <v>TAPL.5030|DETAIL|5030::::TAWARRUQ - SMS||6||||||||||||||PL|55561||||</v>
      </c>
    </row>
    <row r="66" spans="1:34" x14ac:dyDescent="0.2">
      <c r="A66" s="21" t="s">
        <v>282</v>
      </c>
      <c r="B66" s="6" t="s">
        <v>86</v>
      </c>
      <c r="C66" s="6"/>
      <c r="D66" s="23"/>
      <c r="E66" s="4" t="s">
        <v>326</v>
      </c>
      <c r="F66" s="4" t="s">
        <v>11</v>
      </c>
      <c r="G66" s="53">
        <v>5040</v>
      </c>
      <c r="H66" s="4"/>
      <c r="I66" s="4" t="s">
        <v>509</v>
      </c>
      <c r="J66" s="4" t="str">
        <f t="shared" si="2"/>
        <v>TAPL.5040</v>
      </c>
      <c r="K66" s="4" t="s">
        <v>11</v>
      </c>
      <c r="L66" s="4" t="str">
        <f t="shared" si="18"/>
        <v>5040::::TAWARRUQ - QARAR CHARGES</v>
      </c>
      <c r="M66" s="4"/>
      <c r="N66" s="4">
        <v>6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0</v>
      </c>
      <c r="AC66" s="4">
        <v>55564</v>
      </c>
      <c r="AD66" s="4"/>
      <c r="AE66" s="4"/>
      <c r="AF66" s="4"/>
      <c r="AG66" s="8"/>
      <c r="AH66" s="13" t="str">
        <f t="shared" si="5"/>
        <v>TAPL.5040|DETAIL|5040::::TAWARRUQ - QARAR CHARGES||6||||||||||||||PL|55564||||</v>
      </c>
    </row>
    <row r="67" spans="1:34" x14ac:dyDescent="0.2">
      <c r="A67" s="21" t="s">
        <v>283</v>
      </c>
      <c r="B67" s="6" t="s">
        <v>86</v>
      </c>
      <c r="C67" s="6"/>
      <c r="D67" s="23"/>
      <c r="E67" s="4" t="s">
        <v>327</v>
      </c>
      <c r="F67" s="4" t="s">
        <v>11</v>
      </c>
      <c r="G67" s="53">
        <v>5050</v>
      </c>
      <c r="H67" s="4"/>
      <c r="I67" s="4" t="s">
        <v>510</v>
      </c>
      <c r="J67" s="4" t="str">
        <f t="shared" si="2"/>
        <v>TAPL.5050</v>
      </c>
      <c r="K67" s="4" t="s">
        <v>11</v>
      </c>
      <c r="L67" s="4" t="str">
        <f t="shared" si="18"/>
        <v>5050::::TAWARRUQ - AML</v>
      </c>
      <c r="M67" s="4"/>
      <c r="N67" s="4">
        <v>6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0</v>
      </c>
      <c r="AC67" s="4">
        <v>55567</v>
      </c>
      <c r="AD67" s="4"/>
      <c r="AE67" s="4"/>
      <c r="AF67" s="4"/>
      <c r="AG67" s="8"/>
      <c r="AH67" s="13" t="str">
        <f t="shared" si="5"/>
        <v>TAPL.5050|DETAIL|5050::::TAWARRUQ - AML||6||||||||||||||PL|55567||||</v>
      </c>
    </row>
    <row r="68" spans="1:34" x14ac:dyDescent="0.2">
      <c r="A68" s="21" t="s">
        <v>284</v>
      </c>
      <c r="B68" s="6" t="s">
        <v>86</v>
      </c>
      <c r="C68" s="6"/>
      <c r="D68" s="23"/>
      <c r="E68" s="4" t="s">
        <v>328</v>
      </c>
      <c r="F68" s="4" t="s">
        <v>11</v>
      </c>
      <c r="G68" s="53">
        <v>5060</v>
      </c>
      <c r="H68" s="4"/>
      <c r="I68" s="4" t="s">
        <v>511</v>
      </c>
      <c r="J68" s="4" t="str">
        <f t="shared" si="2"/>
        <v>TAPL.5060</v>
      </c>
      <c r="K68" s="4" t="s">
        <v>11</v>
      </c>
      <c r="L68" s="4" t="str">
        <f t="shared" si="18"/>
        <v>5060::::TAWARRUQ - IBAN VERIFICATION</v>
      </c>
      <c r="M68" s="4"/>
      <c r="N68" s="4">
        <v>6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 t="s">
        <v>0</v>
      </c>
      <c r="AC68" s="4">
        <v>55570</v>
      </c>
      <c r="AD68" s="4"/>
      <c r="AE68" s="4"/>
      <c r="AF68" s="4"/>
      <c r="AG68" s="8"/>
      <c r="AH68" s="13" t="str">
        <f t="shared" si="5"/>
        <v>TAPL.5060|DETAIL|5060::::TAWARRUQ - IBAN VERIFICATION||6||||||||||||||PL|55570||||</v>
      </c>
    </row>
    <row r="69" spans="1:34" x14ac:dyDescent="0.2">
      <c r="A69" s="21" t="s">
        <v>285</v>
      </c>
      <c r="B69" s="6" t="s">
        <v>86</v>
      </c>
      <c r="C69" s="6"/>
      <c r="D69" s="23"/>
      <c r="E69" s="4" t="s">
        <v>329</v>
      </c>
      <c r="F69" s="4" t="s">
        <v>11</v>
      </c>
      <c r="G69" s="53">
        <v>5070</v>
      </c>
      <c r="H69" s="4"/>
      <c r="I69" s="4" t="s">
        <v>512</v>
      </c>
      <c r="J69" s="4" t="str">
        <f t="shared" si="2"/>
        <v>TAPL.5070</v>
      </c>
      <c r="K69" s="4" t="s">
        <v>11</v>
      </c>
      <c r="L69" s="4" t="str">
        <f t="shared" si="18"/>
        <v>5070::::TAWARRUQ - COMMODITY BROKER</v>
      </c>
      <c r="M69" s="4"/>
      <c r="N69" s="4">
        <v>6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0</v>
      </c>
      <c r="AC69" s="4">
        <v>55585</v>
      </c>
      <c r="AD69" s="4"/>
      <c r="AE69" s="4"/>
      <c r="AF69" s="4"/>
      <c r="AG69" s="8"/>
      <c r="AH69" s="13" t="str">
        <f t="shared" si="5"/>
        <v>TAPL.5070|DETAIL|5070::::TAWARRUQ - COMMODITY BROKER||6||||||||||||||PL|55585||||</v>
      </c>
    </row>
    <row r="70" spans="1:34" x14ac:dyDescent="0.2">
      <c r="A70" s="21" t="s">
        <v>286</v>
      </c>
      <c r="B70" s="6" t="s">
        <v>86</v>
      </c>
      <c r="C70" s="6"/>
      <c r="D70" s="23"/>
      <c r="E70" s="4" t="s">
        <v>330</v>
      </c>
      <c r="F70" s="4" t="s">
        <v>11</v>
      </c>
      <c r="G70" s="53">
        <v>5080</v>
      </c>
      <c r="H70" s="4"/>
      <c r="I70" s="4" t="s">
        <v>513</v>
      </c>
      <c r="J70" s="4" t="str">
        <f t="shared" si="2"/>
        <v>TAPL.5080</v>
      </c>
      <c r="K70" s="4" t="s">
        <v>11</v>
      </c>
      <c r="L70" s="4" t="str">
        <f t="shared" si="18"/>
        <v>5080::::TAWARRUQ - SIMRAH UPLOAD</v>
      </c>
      <c r="M70" s="4"/>
      <c r="N70" s="4">
        <v>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0</v>
      </c>
      <c r="AC70" s="4">
        <v>55573</v>
      </c>
      <c r="AD70" s="4"/>
      <c r="AE70" s="4"/>
      <c r="AF70" s="4"/>
      <c r="AG70" s="8"/>
      <c r="AH70" s="13" t="str">
        <f t="shared" si="5"/>
        <v>TAPL.5080|DETAIL|5080::::TAWARRUQ - SIMRAH UPLOAD||6||||||||||||||PL|55573||||</v>
      </c>
    </row>
    <row r="71" spans="1:34" x14ac:dyDescent="0.2">
      <c r="A71" s="21" t="s">
        <v>287</v>
      </c>
      <c r="B71" s="6" t="s">
        <v>86</v>
      </c>
      <c r="C71" s="6"/>
      <c r="D71" s="23"/>
      <c r="E71" s="4" t="s">
        <v>331</v>
      </c>
      <c r="F71" s="4" t="s">
        <v>11</v>
      </c>
      <c r="G71" s="53">
        <v>5090</v>
      </c>
      <c r="H71" s="4"/>
      <c r="I71" s="4" t="s">
        <v>514</v>
      </c>
      <c r="J71" s="4" t="str">
        <f t="shared" si="2"/>
        <v>TAPL.5090</v>
      </c>
      <c r="K71" s="4" t="s">
        <v>11</v>
      </c>
      <c r="L71" s="4" t="str">
        <f t="shared" si="18"/>
        <v>5090::::TAWARRUQ - SIMRAH DOWNLOAD</v>
      </c>
      <c r="M71" s="4"/>
      <c r="N71" s="4">
        <v>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0</v>
      </c>
      <c r="AC71" s="4">
        <v>55576</v>
      </c>
      <c r="AD71" s="4"/>
      <c r="AE71" s="4"/>
      <c r="AF71" s="4"/>
      <c r="AG71" s="8"/>
      <c r="AH71" s="13" t="str">
        <f t="shared" si="5"/>
        <v>TAPL.5090|DETAIL|5090::::TAWARRUQ - SIMRAH DOWNLOAD||6||||||||||||||PL|55576||||</v>
      </c>
    </row>
    <row r="72" spans="1:34" x14ac:dyDescent="0.2">
      <c r="A72" s="21" t="s">
        <v>288</v>
      </c>
      <c r="B72" s="6" t="s">
        <v>86</v>
      </c>
      <c r="C72" s="6"/>
      <c r="D72" s="23"/>
      <c r="E72" s="4" t="s">
        <v>332</v>
      </c>
      <c r="F72" s="4" t="s">
        <v>11</v>
      </c>
      <c r="G72" s="53">
        <v>5100</v>
      </c>
      <c r="H72" s="4"/>
      <c r="I72" s="4" t="s">
        <v>707</v>
      </c>
      <c r="J72" s="4" t="str">
        <f t="shared" si="2"/>
        <v>TAPL.5100</v>
      </c>
      <c r="K72" s="4" t="s">
        <v>11</v>
      </c>
      <c r="L72" s="4" t="str">
        <f t="shared" si="18"/>
        <v>5100::::TAWARRUQ - ROSOM</v>
      </c>
      <c r="M72" s="4"/>
      <c r="N72" s="4">
        <v>6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0</v>
      </c>
      <c r="AC72" s="4">
        <v>55579</v>
      </c>
      <c r="AD72" s="4"/>
      <c r="AE72" s="4"/>
      <c r="AF72" s="4"/>
      <c r="AG72" s="8"/>
      <c r="AH72" s="13" t="str">
        <f t="shared" si="5"/>
        <v>TAPL.5100|DETAIL|5100::::TAWARRUQ - ROSOM||6||||||||||||||PL|55579||||</v>
      </c>
    </row>
    <row r="73" spans="1:34" x14ac:dyDescent="0.2">
      <c r="A73" s="21" t="s">
        <v>289</v>
      </c>
      <c r="B73" s="6" t="s">
        <v>86</v>
      </c>
      <c r="C73" s="6"/>
      <c r="D73" s="23"/>
      <c r="E73" s="4" t="s">
        <v>333</v>
      </c>
      <c r="F73" s="4" t="s">
        <v>11</v>
      </c>
      <c r="G73" s="53">
        <v>5110</v>
      </c>
      <c r="H73" s="4"/>
      <c r="I73" s="4" t="s">
        <v>515</v>
      </c>
      <c r="J73" s="4" t="str">
        <f t="shared" si="2"/>
        <v>TAPL.5110</v>
      </c>
      <c r="K73" s="4" t="s">
        <v>11</v>
      </c>
      <c r="L73" s="4" t="str">
        <f t="shared" si="18"/>
        <v>5110::::TAWARRUQ - NAFITH</v>
      </c>
      <c r="M73" s="4"/>
      <c r="N73" s="4">
        <v>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0</v>
      </c>
      <c r="AC73" s="4">
        <v>55582</v>
      </c>
      <c r="AD73" s="4"/>
      <c r="AE73" s="4"/>
      <c r="AF73" s="4"/>
      <c r="AG73" s="8"/>
      <c r="AH73" s="13" t="str">
        <f t="shared" si="5"/>
        <v>TAPL.5110|DETAIL|5110::::TAWARRUQ - NAFITH||6||||||||||||||PL|55582||||</v>
      </c>
    </row>
    <row r="74" spans="1:34" x14ac:dyDescent="0.2">
      <c r="A74" s="64"/>
      <c r="B74" s="16" t="s">
        <v>86</v>
      </c>
      <c r="C74" s="16"/>
      <c r="D74" s="16"/>
      <c r="E74" s="5" t="s">
        <v>363</v>
      </c>
      <c r="F74" s="5" t="s">
        <v>12</v>
      </c>
      <c r="G74" s="67" t="s">
        <v>30</v>
      </c>
      <c r="H74" s="5"/>
      <c r="I74" s="5" t="s">
        <v>538</v>
      </c>
      <c r="J74" s="5" t="str">
        <f t="shared" si="2"/>
        <v>TAPL.5120</v>
      </c>
      <c r="K74" s="5" t="s">
        <v>12</v>
      </c>
      <c r="L74" s="5" t="str">
        <f t="shared" si="18"/>
        <v>***::::TOT - TAWARRUQ API EXPENSE</v>
      </c>
      <c r="M74" s="5">
        <v>6</v>
      </c>
      <c r="N74" s="5">
        <v>5</v>
      </c>
      <c r="O74" s="5"/>
      <c r="P74" s="5"/>
      <c r="Q74" s="5">
        <v>1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9"/>
      <c r="AH74" s="13" t="str">
        <f t="shared" si="5"/>
        <v>TAPL.5120|TOTAL|***::::TOT - TAWARRUQ API EXPENSE|6|5|||1||||||||||||||||</v>
      </c>
    </row>
    <row r="75" spans="1:34" x14ac:dyDescent="0.2">
      <c r="A75" s="56" t="s">
        <v>290</v>
      </c>
      <c r="B75" s="3" t="s">
        <v>86</v>
      </c>
      <c r="C75" s="3"/>
      <c r="D75" s="18"/>
      <c r="E75" s="2" t="s">
        <v>371</v>
      </c>
      <c r="F75" s="2" t="s">
        <v>10</v>
      </c>
      <c r="G75" s="50" t="s">
        <v>22</v>
      </c>
      <c r="H75" s="2"/>
      <c r="I75" s="62" t="s">
        <v>539</v>
      </c>
      <c r="J75" s="2" t="str">
        <f t="shared" ref="J75:J113" si="19">+E75</f>
        <v>TAPL.5130</v>
      </c>
      <c r="K75" s="2" t="s">
        <v>10</v>
      </c>
      <c r="L75" s="2" t="str">
        <f t="shared" si="18"/>
        <v>**::::MURABAHA API EXPENSE</v>
      </c>
      <c r="M75" s="3"/>
      <c r="N75" s="2"/>
      <c r="O75" s="2"/>
      <c r="P75" s="2"/>
      <c r="Q75" s="2">
        <v>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7"/>
      <c r="AH75" s="13" t="str">
        <f t="shared" si="5"/>
        <v>TAPL.5130|HEADING|**::::MURABAHA API EXPENSE|||||1||||||||||||||||</v>
      </c>
    </row>
    <row r="76" spans="1:34" x14ac:dyDescent="0.2">
      <c r="A76" s="21" t="s">
        <v>291</v>
      </c>
      <c r="B76" s="6" t="s">
        <v>86</v>
      </c>
      <c r="C76" s="6"/>
      <c r="D76" s="23"/>
      <c r="E76" s="4" t="s">
        <v>334</v>
      </c>
      <c r="F76" s="4" t="s">
        <v>11</v>
      </c>
      <c r="G76" s="53">
        <v>5140</v>
      </c>
      <c r="H76" s="4"/>
      <c r="I76" s="4" t="s">
        <v>516</v>
      </c>
      <c r="J76" s="4" t="str">
        <f t="shared" si="19"/>
        <v>TAPL.5140</v>
      </c>
      <c r="K76" s="4" t="s">
        <v>11</v>
      </c>
      <c r="L76" s="4" t="str">
        <f t="shared" si="18"/>
        <v>5140::::MURABAHA - EMDAH</v>
      </c>
      <c r="M76" s="4"/>
      <c r="N76" s="4">
        <v>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0</v>
      </c>
      <c r="AC76" s="4">
        <v>55556</v>
      </c>
      <c r="AD76" s="4"/>
      <c r="AE76" s="4"/>
      <c r="AF76" s="4"/>
      <c r="AG76" s="8"/>
      <c r="AH76" s="13" t="str">
        <f t="shared" si="5"/>
        <v>TAPL.5140|DETAIL|5140::::MURABAHA - EMDAH||6||||||||||||||PL|55556||||</v>
      </c>
    </row>
    <row r="77" spans="1:34" x14ac:dyDescent="0.2">
      <c r="A77" s="21" t="s">
        <v>292</v>
      </c>
      <c r="B77" s="6" t="s">
        <v>86</v>
      </c>
      <c r="C77" s="6"/>
      <c r="D77" s="23"/>
      <c r="E77" s="4" t="s">
        <v>335</v>
      </c>
      <c r="F77" s="4" t="s">
        <v>11</v>
      </c>
      <c r="G77" s="53">
        <v>5150</v>
      </c>
      <c r="H77" s="4"/>
      <c r="I77" s="4" t="s">
        <v>517</v>
      </c>
      <c r="J77" s="4" t="str">
        <f t="shared" si="19"/>
        <v>TAPL.5150</v>
      </c>
      <c r="K77" s="4" t="s">
        <v>11</v>
      </c>
      <c r="L77" s="4" t="str">
        <f t="shared" si="18"/>
        <v>5150::::MURABAHA - IVR</v>
      </c>
      <c r="M77" s="4"/>
      <c r="N77" s="4">
        <v>6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0</v>
      </c>
      <c r="AC77" s="4">
        <v>55559</v>
      </c>
      <c r="AD77" s="4"/>
      <c r="AE77" s="4"/>
      <c r="AF77" s="4"/>
      <c r="AG77" s="8"/>
      <c r="AH77" s="13" t="str">
        <f t="shared" si="5"/>
        <v>TAPL.5150|DETAIL|5150::::MURABAHA - IVR||6||||||||||||||PL|55559||||</v>
      </c>
    </row>
    <row r="78" spans="1:34" x14ac:dyDescent="0.2">
      <c r="A78" s="21" t="s">
        <v>293</v>
      </c>
      <c r="B78" s="6" t="s">
        <v>86</v>
      </c>
      <c r="C78" s="6"/>
      <c r="D78" s="23"/>
      <c r="E78" s="4" t="s">
        <v>336</v>
      </c>
      <c r="F78" s="4" t="s">
        <v>11</v>
      </c>
      <c r="G78" s="53">
        <v>5160</v>
      </c>
      <c r="H78" s="4"/>
      <c r="I78" s="4" t="s">
        <v>518</v>
      </c>
      <c r="J78" s="4" t="str">
        <f t="shared" si="19"/>
        <v>TAPL.5160</v>
      </c>
      <c r="K78" s="4" t="s">
        <v>11</v>
      </c>
      <c r="L78" s="4" t="str">
        <f t="shared" si="18"/>
        <v>5160::::MURABAHA - SMS</v>
      </c>
      <c r="M78" s="4"/>
      <c r="N78" s="4">
        <v>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0</v>
      </c>
      <c r="AC78" s="4">
        <v>55562</v>
      </c>
      <c r="AD78" s="4"/>
      <c r="AE78" s="4"/>
      <c r="AF78" s="4"/>
      <c r="AG78" s="8"/>
      <c r="AH78" s="13" t="str">
        <f t="shared" si="5"/>
        <v>TAPL.5160|DETAIL|5160::::MURABAHA - SMS||6||||||||||||||PL|55562||||</v>
      </c>
    </row>
    <row r="79" spans="1:34" x14ac:dyDescent="0.2">
      <c r="A79" s="21" t="s">
        <v>294</v>
      </c>
      <c r="B79" s="6" t="s">
        <v>86</v>
      </c>
      <c r="C79" s="6"/>
      <c r="D79" s="23"/>
      <c r="E79" s="4" t="s">
        <v>337</v>
      </c>
      <c r="F79" s="4" t="s">
        <v>11</v>
      </c>
      <c r="G79" s="53">
        <v>5170</v>
      </c>
      <c r="H79" s="4"/>
      <c r="I79" s="4" t="s">
        <v>519</v>
      </c>
      <c r="J79" s="4" t="str">
        <f t="shared" si="19"/>
        <v>TAPL.5170</v>
      </c>
      <c r="K79" s="4" t="s">
        <v>11</v>
      </c>
      <c r="L79" s="4" t="str">
        <f t="shared" si="18"/>
        <v>5170::::MURABAHA - QARAR CHARGES</v>
      </c>
      <c r="M79" s="4"/>
      <c r="N79" s="4">
        <v>6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0</v>
      </c>
      <c r="AC79" s="4">
        <v>55565</v>
      </c>
      <c r="AD79" s="4"/>
      <c r="AE79" s="4"/>
      <c r="AF79" s="4"/>
      <c r="AG79" s="8"/>
      <c r="AH79" s="13" t="str">
        <f t="shared" si="5"/>
        <v>TAPL.5170|DETAIL|5170::::MURABAHA - QARAR CHARGES||6||||||||||||||PL|55565||||</v>
      </c>
    </row>
    <row r="80" spans="1:34" x14ac:dyDescent="0.2">
      <c r="A80" s="21" t="s">
        <v>295</v>
      </c>
      <c r="B80" s="6" t="s">
        <v>86</v>
      </c>
      <c r="C80" s="6"/>
      <c r="D80" s="23"/>
      <c r="E80" s="4" t="s">
        <v>338</v>
      </c>
      <c r="F80" s="4" t="s">
        <v>11</v>
      </c>
      <c r="G80" s="53">
        <v>5180</v>
      </c>
      <c r="H80" s="4"/>
      <c r="I80" s="4" t="s">
        <v>520</v>
      </c>
      <c r="J80" s="4" t="str">
        <f t="shared" si="19"/>
        <v>TAPL.5180</v>
      </c>
      <c r="K80" s="4" t="s">
        <v>11</v>
      </c>
      <c r="L80" s="4" t="str">
        <f t="shared" si="18"/>
        <v>5180::::MURABAHA - AML</v>
      </c>
      <c r="M80" s="4"/>
      <c r="N80" s="4">
        <v>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 t="s">
        <v>0</v>
      </c>
      <c r="AC80" s="4">
        <v>55568</v>
      </c>
      <c r="AD80" s="4"/>
      <c r="AE80" s="4"/>
      <c r="AF80" s="4"/>
      <c r="AG80" s="8"/>
      <c r="AH80" s="13" t="str">
        <f t="shared" si="5"/>
        <v>TAPL.5180|DETAIL|5180::::MURABAHA - AML||6||||||||||||||PL|55568||||</v>
      </c>
    </row>
    <row r="81" spans="1:34" x14ac:dyDescent="0.2">
      <c r="A81" s="21" t="s">
        <v>296</v>
      </c>
      <c r="B81" s="6" t="s">
        <v>86</v>
      </c>
      <c r="C81" s="6"/>
      <c r="D81" s="23"/>
      <c r="E81" s="4" t="s">
        <v>339</v>
      </c>
      <c r="F81" s="4" t="s">
        <v>11</v>
      </c>
      <c r="G81" s="53">
        <v>5190</v>
      </c>
      <c r="H81" s="4"/>
      <c r="I81" s="4" t="s">
        <v>521</v>
      </c>
      <c r="J81" s="4" t="str">
        <f t="shared" si="19"/>
        <v>TAPL.5190</v>
      </c>
      <c r="K81" s="4" t="s">
        <v>11</v>
      </c>
      <c r="L81" s="4" t="str">
        <f t="shared" si="18"/>
        <v>5190::::MURABAHA - IBAN VERIFICATION</v>
      </c>
      <c r="M81" s="4"/>
      <c r="N81" s="4">
        <v>6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 t="s">
        <v>0</v>
      </c>
      <c r="AC81" s="4">
        <v>55571</v>
      </c>
      <c r="AD81" s="4"/>
      <c r="AE81" s="4"/>
      <c r="AF81" s="4"/>
      <c r="AG81" s="8"/>
      <c r="AH81" s="13" t="str">
        <f t="shared" si="5"/>
        <v>TAPL.5190|DETAIL|5190::::MURABAHA - IBAN VERIFICATION||6||||||||||||||PL|55571||||</v>
      </c>
    </row>
    <row r="82" spans="1:34" x14ac:dyDescent="0.2">
      <c r="A82" s="21" t="s">
        <v>297</v>
      </c>
      <c r="B82" s="6" t="s">
        <v>86</v>
      </c>
      <c r="C82" s="6"/>
      <c r="D82" s="23"/>
      <c r="E82" s="4" t="s">
        <v>340</v>
      </c>
      <c r="F82" s="4" t="s">
        <v>11</v>
      </c>
      <c r="G82" s="53">
        <v>5200</v>
      </c>
      <c r="H82" s="4"/>
      <c r="I82" s="4" t="s">
        <v>522</v>
      </c>
      <c r="J82" s="4" t="str">
        <f t="shared" si="19"/>
        <v>TAPL.5200</v>
      </c>
      <c r="K82" s="4" t="s">
        <v>11</v>
      </c>
      <c r="L82" s="4" t="str">
        <f t="shared" si="18"/>
        <v>5200::::MURABAHA - VOUCHER PROVIDER</v>
      </c>
      <c r="M82" s="4"/>
      <c r="N82" s="4">
        <v>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0</v>
      </c>
      <c r="AC82" s="4">
        <v>55586</v>
      </c>
      <c r="AD82" s="4"/>
      <c r="AE82" s="4"/>
      <c r="AF82" s="4"/>
      <c r="AG82" s="8"/>
      <c r="AH82" s="13" t="str">
        <f t="shared" ref="AH82:AH113" si="20">+_xlfn.TEXTJOIN("|",FALSE,J82:AG82)</f>
        <v>TAPL.5200|DETAIL|5200::::MURABAHA - VOUCHER PROVIDER||6||||||||||||||PL|55586||||</v>
      </c>
    </row>
    <row r="83" spans="1:34" x14ac:dyDescent="0.2">
      <c r="A83" s="21" t="s">
        <v>298</v>
      </c>
      <c r="B83" s="6" t="s">
        <v>86</v>
      </c>
      <c r="C83" s="6"/>
      <c r="D83" s="23"/>
      <c r="E83" s="4" t="s">
        <v>341</v>
      </c>
      <c r="F83" s="4" t="s">
        <v>11</v>
      </c>
      <c r="G83" s="53">
        <v>5210</v>
      </c>
      <c r="H83" s="4"/>
      <c r="I83" s="4" t="s">
        <v>523</v>
      </c>
      <c r="J83" s="4" t="str">
        <f t="shared" si="19"/>
        <v>TAPL.5210</v>
      </c>
      <c r="K83" s="4" t="s">
        <v>11</v>
      </c>
      <c r="L83" s="4" t="str">
        <f t="shared" si="18"/>
        <v>5210::::MURABAHA - SIMRAH UPLOAD</v>
      </c>
      <c r="M83" s="4"/>
      <c r="N83" s="4">
        <v>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0</v>
      </c>
      <c r="AC83" s="4">
        <v>55574</v>
      </c>
      <c r="AD83" s="4"/>
      <c r="AE83" s="4"/>
      <c r="AF83" s="4"/>
      <c r="AG83" s="8"/>
      <c r="AH83" s="13" t="str">
        <f t="shared" si="20"/>
        <v>TAPL.5210|DETAIL|5210::::MURABAHA - SIMRAH UPLOAD||6||||||||||||||PL|55574||||</v>
      </c>
    </row>
    <row r="84" spans="1:34" x14ac:dyDescent="0.2">
      <c r="A84" s="21" t="s">
        <v>299</v>
      </c>
      <c r="B84" s="6" t="s">
        <v>86</v>
      </c>
      <c r="C84" s="6"/>
      <c r="D84" s="23"/>
      <c r="E84" s="4" t="s">
        <v>342</v>
      </c>
      <c r="F84" s="4" t="s">
        <v>11</v>
      </c>
      <c r="G84" s="53">
        <v>5220</v>
      </c>
      <c r="H84" s="4"/>
      <c r="I84" s="4" t="s">
        <v>524</v>
      </c>
      <c r="J84" s="4" t="str">
        <f t="shared" si="19"/>
        <v>TAPL.5220</v>
      </c>
      <c r="K84" s="4" t="s">
        <v>11</v>
      </c>
      <c r="L84" s="4" t="str">
        <f t="shared" si="18"/>
        <v>5220::::MURABAHA - SIMRAH DOWNLOAD</v>
      </c>
      <c r="M84" s="4"/>
      <c r="N84" s="4">
        <v>6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0</v>
      </c>
      <c r="AC84" s="4">
        <v>55577</v>
      </c>
      <c r="AD84" s="4"/>
      <c r="AE84" s="4"/>
      <c r="AF84" s="4"/>
      <c r="AG84" s="8"/>
      <c r="AH84" s="13" t="str">
        <f t="shared" si="20"/>
        <v>TAPL.5220|DETAIL|5220::::MURABAHA - SIMRAH DOWNLOAD||6||||||||||||||PL|55577||||</v>
      </c>
    </row>
    <row r="85" spans="1:34" x14ac:dyDescent="0.2">
      <c r="A85" s="21" t="s">
        <v>300</v>
      </c>
      <c r="B85" s="6" t="s">
        <v>86</v>
      </c>
      <c r="C85" s="6"/>
      <c r="D85" s="23"/>
      <c r="E85" s="4" t="s">
        <v>343</v>
      </c>
      <c r="F85" s="4" t="s">
        <v>11</v>
      </c>
      <c r="G85" s="53">
        <v>5230</v>
      </c>
      <c r="H85" s="4"/>
      <c r="I85" s="4" t="s">
        <v>706</v>
      </c>
      <c r="J85" s="4" t="str">
        <f t="shared" si="19"/>
        <v>TAPL.5230</v>
      </c>
      <c r="K85" s="4" t="s">
        <v>11</v>
      </c>
      <c r="L85" s="4" t="str">
        <f t="shared" si="18"/>
        <v>5230::::MURABAHA - ROSOM</v>
      </c>
      <c r="M85" s="4"/>
      <c r="N85" s="4">
        <v>6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0</v>
      </c>
      <c r="AC85" s="4">
        <v>55580</v>
      </c>
      <c r="AD85" s="4"/>
      <c r="AE85" s="4"/>
      <c r="AF85" s="4"/>
      <c r="AG85" s="8"/>
      <c r="AH85" s="13" t="str">
        <f t="shared" si="20"/>
        <v>TAPL.5230|DETAIL|5230::::MURABAHA - ROSOM||6||||||||||||||PL|55580||||</v>
      </c>
    </row>
    <row r="86" spans="1:34" x14ac:dyDescent="0.2">
      <c r="A86" s="21" t="s">
        <v>301</v>
      </c>
      <c r="B86" s="6" t="s">
        <v>86</v>
      </c>
      <c r="C86" s="6"/>
      <c r="D86" s="23"/>
      <c r="E86" s="4" t="s">
        <v>344</v>
      </c>
      <c r="F86" s="4" t="s">
        <v>11</v>
      </c>
      <c r="G86" s="53">
        <v>5240</v>
      </c>
      <c r="H86" s="4"/>
      <c r="I86" s="4" t="s">
        <v>525</v>
      </c>
      <c r="J86" s="4" t="str">
        <f t="shared" si="19"/>
        <v>TAPL.5240</v>
      </c>
      <c r="K86" s="4" t="s">
        <v>11</v>
      </c>
      <c r="L86" s="4" t="str">
        <f t="shared" si="18"/>
        <v>5240::::MURABAHA - NAFITH</v>
      </c>
      <c r="M86" s="4"/>
      <c r="N86" s="4">
        <v>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0</v>
      </c>
      <c r="AC86" s="4">
        <v>55583</v>
      </c>
      <c r="AD86" s="4"/>
      <c r="AE86" s="4"/>
      <c r="AF86" s="4"/>
      <c r="AG86" s="8"/>
      <c r="AH86" s="13" t="str">
        <f t="shared" si="20"/>
        <v>TAPL.5240|DETAIL|5240::::MURABAHA - NAFITH||6||||||||||||||PL|55583||||</v>
      </c>
    </row>
    <row r="87" spans="1:34" x14ac:dyDescent="0.2">
      <c r="A87" s="64"/>
      <c r="B87" s="16" t="s">
        <v>86</v>
      </c>
      <c r="C87" s="16"/>
      <c r="D87" s="16"/>
      <c r="E87" s="5" t="s">
        <v>364</v>
      </c>
      <c r="F87" s="5" t="s">
        <v>12</v>
      </c>
      <c r="G87" s="67" t="s">
        <v>30</v>
      </c>
      <c r="H87" s="5"/>
      <c r="I87" s="5" t="s">
        <v>540</v>
      </c>
      <c r="J87" s="5" t="str">
        <f t="shared" si="19"/>
        <v>TAPL.5400</v>
      </c>
      <c r="K87" s="5" t="s">
        <v>12</v>
      </c>
      <c r="L87" s="5" t="str">
        <f t="shared" si="18"/>
        <v>***::::TOT - MURABAHA API EXPENSE</v>
      </c>
      <c r="M87" s="5">
        <v>6</v>
      </c>
      <c r="N87" s="5">
        <v>5</v>
      </c>
      <c r="O87" s="5"/>
      <c r="P87" s="5"/>
      <c r="Q87" s="5">
        <v>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9"/>
      <c r="AH87" s="13" t="str">
        <f t="shared" si="20"/>
        <v>TAPL.5400|TOTAL|***::::TOT - MURABAHA API EXPENSE|6|5|||1||||||||||||||||</v>
      </c>
    </row>
    <row r="88" spans="1:34" x14ac:dyDescent="0.2">
      <c r="A88" s="56" t="s">
        <v>302</v>
      </c>
      <c r="B88" s="3" t="s">
        <v>86</v>
      </c>
      <c r="C88" s="3"/>
      <c r="D88" s="18"/>
      <c r="E88" s="2" t="s">
        <v>372</v>
      </c>
      <c r="F88" s="2" t="s">
        <v>10</v>
      </c>
      <c r="G88" s="50" t="s">
        <v>22</v>
      </c>
      <c r="H88" s="2"/>
      <c r="I88" s="62" t="s">
        <v>541</v>
      </c>
      <c r="J88" s="2" t="str">
        <f t="shared" si="19"/>
        <v>TAPL.5600</v>
      </c>
      <c r="K88" s="2" t="s">
        <v>10</v>
      </c>
      <c r="L88" s="2" t="str">
        <f t="shared" si="18"/>
        <v>**::::IJARAH API EXPENSE</v>
      </c>
      <c r="M88" s="3"/>
      <c r="N88" s="2"/>
      <c r="O88" s="2"/>
      <c r="P88" s="2"/>
      <c r="Q88" s="2">
        <v>1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7"/>
      <c r="AH88" s="13" t="str">
        <f t="shared" si="20"/>
        <v>TAPL.5600|HEADING|**::::IJARAH API EXPENSE|||||1||||||||||||||||</v>
      </c>
    </row>
    <row r="89" spans="1:34" x14ac:dyDescent="0.2">
      <c r="A89" s="21" t="s">
        <v>303</v>
      </c>
      <c r="B89" s="6" t="s">
        <v>86</v>
      </c>
      <c r="C89" s="6"/>
      <c r="D89" s="23"/>
      <c r="E89" s="4" t="s">
        <v>345</v>
      </c>
      <c r="F89" s="4" t="s">
        <v>11</v>
      </c>
      <c r="G89" s="53">
        <v>5610</v>
      </c>
      <c r="H89" s="4"/>
      <c r="I89" s="4" t="s">
        <v>526</v>
      </c>
      <c r="J89" s="4" t="str">
        <f t="shared" si="19"/>
        <v>TAPL.5610</v>
      </c>
      <c r="K89" s="4" t="s">
        <v>11</v>
      </c>
      <c r="L89" s="4" t="str">
        <f t="shared" si="18"/>
        <v>5610::::IJARAH - EMDAH</v>
      </c>
      <c r="M89" s="4"/>
      <c r="N89" s="4">
        <v>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0</v>
      </c>
      <c r="AC89" s="4">
        <v>55557</v>
      </c>
      <c r="AD89" s="4"/>
      <c r="AE89" s="4"/>
      <c r="AF89" s="4"/>
      <c r="AG89" s="8"/>
      <c r="AH89" s="13" t="str">
        <f t="shared" si="20"/>
        <v>TAPL.5610|DETAIL|5610::::IJARAH - EMDAH||6||||||||||||||PL|55557||||</v>
      </c>
    </row>
    <row r="90" spans="1:34" x14ac:dyDescent="0.2">
      <c r="A90" s="21" t="s">
        <v>304</v>
      </c>
      <c r="B90" s="6" t="s">
        <v>86</v>
      </c>
      <c r="C90" s="6"/>
      <c r="D90" s="23"/>
      <c r="E90" s="4" t="s">
        <v>346</v>
      </c>
      <c r="F90" s="4" t="s">
        <v>11</v>
      </c>
      <c r="G90" s="53">
        <v>5620</v>
      </c>
      <c r="H90" s="4"/>
      <c r="I90" s="4" t="s">
        <v>527</v>
      </c>
      <c r="J90" s="4" t="str">
        <f t="shared" si="19"/>
        <v>TAPL.5620</v>
      </c>
      <c r="K90" s="4" t="s">
        <v>11</v>
      </c>
      <c r="L90" s="4" t="str">
        <f t="shared" si="18"/>
        <v>5620::::IJARAH - IVR</v>
      </c>
      <c r="M90" s="4"/>
      <c r="N90" s="4">
        <v>6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0</v>
      </c>
      <c r="AC90" s="4">
        <v>55560</v>
      </c>
      <c r="AD90" s="4"/>
      <c r="AE90" s="4"/>
      <c r="AF90" s="4"/>
      <c r="AG90" s="8"/>
      <c r="AH90" s="13" t="str">
        <f t="shared" si="20"/>
        <v>TAPL.5620|DETAIL|5620::::IJARAH - IVR||6||||||||||||||PL|55560||||</v>
      </c>
    </row>
    <row r="91" spans="1:34" x14ac:dyDescent="0.2">
      <c r="A91" s="21" t="s">
        <v>305</v>
      </c>
      <c r="B91" s="6" t="s">
        <v>86</v>
      </c>
      <c r="C91" s="6"/>
      <c r="D91" s="23"/>
      <c r="E91" s="4" t="s">
        <v>347</v>
      </c>
      <c r="F91" s="4" t="s">
        <v>11</v>
      </c>
      <c r="G91" s="53">
        <v>5630</v>
      </c>
      <c r="H91" s="4"/>
      <c r="I91" s="4" t="s">
        <v>528</v>
      </c>
      <c r="J91" s="4" t="str">
        <f t="shared" si="19"/>
        <v>TAPL.5630</v>
      </c>
      <c r="K91" s="4" t="s">
        <v>11</v>
      </c>
      <c r="L91" s="4" t="str">
        <f t="shared" si="18"/>
        <v>5630::::IJARAH - SMS</v>
      </c>
      <c r="M91" s="4"/>
      <c r="N91" s="4">
        <v>6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0</v>
      </c>
      <c r="AC91" s="4">
        <v>55563</v>
      </c>
      <c r="AD91" s="4"/>
      <c r="AE91" s="4"/>
      <c r="AF91" s="4"/>
      <c r="AG91" s="8"/>
      <c r="AH91" s="13" t="str">
        <f t="shared" si="20"/>
        <v>TAPL.5630|DETAIL|5630::::IJARAH - SMS||6||||||||||||||PL|55563||||</v>
      </c>
    </row>
    <row r="92" spans="1:34" x14ac:dyDescent="0.2">
      <c r="A92" s="21" t="s">
        <v>306</v>
      </c>
      <c r="B92" s="6" t="s">
        <v>86</v>
      </c>
      <c r="C92" s="6"/>
      <c r="D92" s="23"/>
      <c r="E92" s="4" t="s">
        <v>348</v>
      </c>
      <c r="F92" s="4" t="s">
        <v>11</v>
      </c>
      <c r="G92" s="53">
        <v>5640</v>
      </c>
      <c r="H92" s="4"/>
      <c r="I92" s="4" t="s">
        <v>529</v>
      </c>
      <c r="J92" s="4" t="str">
        <f t="shared" si="19"/>
        <v>TAPL.5640</v>
      </c>
      <c r="K92" s="4" t="s">
        <v>11</v>
      </c>
      <c r="L92" s="4" t="str">
        <f t="shared" si="18"/>
        <v>5640::::IJARAH - TAMEEMI</v>
      </c>
      <c r="M92" s="4"/>
      <c r="N92" s="4">
        <v>6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0</v>
      </c>
      <c r="AC92" s="4">
        <v>55588</v>
      </c>
      <c r="AD92" s="4"/>
      <c r="AE92" s="4"/>
      <c r="AF92" s="4"/>
      <c r="AG92" s="8"/>
      <c r="AH92" s="13" t="str">
        <f t="shared" si="20"/>
        <v>TAPL.5640|DETAIL|5640::::IJARAH - TAMEEMI||6||||||||||||||PL|55588||||</v>
      </c>
    </row>
    <row r="93" spans="1:34" x14ac:dyDescent="0.2">
      <c r="A93" s="21" t="s">
        <v>307</v>
      </c>
      <c r="B93" s="6" t="s">
        <v>86</v>
      </c>
      <c r="C93" s="6"/>
      <c r="D93" s="23"/>
      <c r="E93" s="4" t="s">
        <v>349</v>
      </c>
      <c r="F93" s="4" t="s">
        <v>11</v>
      </c>
      <c r="G93" s="53">
        <v>5650</v>
      </c>
      <c r="H93" s="4"/>
      <c r="I93" s="4" t="s">
        <v>530</v>
      </c>
      <c r="J93" s="4" t="str">
        <f t="shared" si="19"/>
        <v>TAPL.5650</v>
      </c>
      <c r="K93" s="4" t="s">
        <v>11</v>
      </c>
      <c r="L93" s="4" t="str">
        <f t="shared" si="18"/>
        <v>5650::::IJARAH - QARAR CHARGES</v>
      </c>
      <c r="M93" s="4"/>
      <c r="N93" s="4">
        <v>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0</v>
      </c>
      <c r="AC93" s="4">
        <v>55566</v>
      </c>
      <c r="AD93" s="4"/>
      <c r="AE93" s="4"/>
      <c r="AF93" s="4"/>
      <c r="AG93" s="8"/>
      <c r="AH93" s="13" t="str">
        <f t="shared" si="20"/>
        <v>TAPL.5650|DETAIL|5650::::IJARAH - QARAR CHARGES||6||||||||||||||PL|55566||||</v>
      </c>
    </row>
    <row r="94" spans="1:34" x14ac:dyDescent="0.2">
      <c r="A94" s="21" t="s">
        <v>308</v>
      </c>
      <c r="B94" s="6" t="s">
        <v>86</v>
      </c>
      <c r="C94" s="6"/>
      <c r="D94" s="23"/>
      <c r="E94" s="4" t="s">
        <v>350</v>
      </c>
      <c r="F94" s="4" t="s">
        <v>11</v>
      </c>
      <c r="G94" s="53">
        <v>5660</v>
      </c>
      <c r="H94" s="4"/>
      <c r="I94" s="4" t="s">
        <v>531</v>
      </c>
      <c r="J94" s="4" t="str">
        <f t="shared" si="19"/>
        <v>TAPL.5660</v>
      </c>
      <c r="K94" s="4" t="s">
        <v>11</v>
      </c>
      <c r="L94" s="4" t="str">
        <f t="shared" si="18"/>
        <v>5660::::IJARAH - AML</v>
      </c>
      <c r="M94" s="4"/>
      <c r="N94" s="4">
        <v>6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 t="s">
        <v>0</v>
      </c>
      <c r="AC94" s="4">
        <v>55569</v>
      </c>
      <c r="AD94" s="4"/>
      <c r="AE94" s="4"/>
      <c r="AF94" s="4"/>
      <c r="AG94" s="8"/>
      <c r="AH94" s="13" t="str">
        <f t="shared" si="20"/>
        <v>TAPL.5660|DETAIL|5660::::IJARAH - AML||6||||||||||||||PL|55569||||</v>
      </c>
    </row>
    <row r="95" spans="1:34" x14ac:dyDescent="0.2">
      <c r="A95" s="21" t="s">
        <v>309</v>
      </c>
      <c r="B95" s="6" t="s">
        <v>86</v>
      </c>
      <c r="C95" s="6"/>
      <c r="D95" s="23"/>
      <c r="E95" s="4" t="s">
        <v>351</v>
      </c>
      <c r="F95" s="4" t="s">
        <v>11</v>
      </c>
      <c r="G95" s="53">
        <v>5670</v>
      </c>
      <c r="H95" s="4"/>
      <c r="I95" s="4" t="s">
        <v>532</v>
      </c>
      <c r="J95" s="4" t="str">
        <f t="shared" si="19"/>
        <v>TAPL.5670</v>
      </c>
      <c r="K95" s="4" t="s">
        <v>11</v>
      </c>
      <c r="L95" s="4" t="str">
        <f t="shared" si="18"/>
        <v>5670::::IJARAH - IBAN VERIFICATION</v>
      </c>
      <c r="M95" s="4"/>
      <c r="N95" s="4">
        <v>6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 t="s">
        <v>0</v>
      </c>
      <c r="AC95" s="4">
        <v>55572</v>
      </c>
      <c r="AD95" s="4"/>
      <c r="AE95" s="4"/>
      <c r="AF95" s="4"/>
      <c r="AG95" s="8"/>
      <c r="AH95" s="13" t="str">
        <f t="shared" si="20"/>
        <v>TAPL.5670|DETAIL|5670::::IJARAH - IBAN VERIFICATION||6||||||||||||||PL|55572||||</v>
      </c>
    </row>
    <row r="96" spans="1:34" x14ac:dyDescent="0.2">
      <c r="A96" s="21" t="s">
        <v>310</v>
      </c>
      <c r="B96" s="6" t="s">
        <v>86</v>
      </c>
      <c r="C96" s="6"/>
      <c r="D96" s="23"/>
      <c r="E96" s="4" t="s">
        <v>352</v>
      </c>
      <c r="F96" s="4" t="s">
        <v>11</v>
      </c>
      <c r="G96" s="53">
        <v>5680</v>
      </c>
      <c r="H96" s="4"/>
      <c r="I96" s="4" t="s">
        <v>533</v>
      </c>
      <c r="J96" s="4" t="str">
        <f t="shared" si="19"/>
        <v>TAPL.5680</v>
      </c>
      <c r="K96" s="4" t="s">
        <v>11</v>
      </c>
      <c r="L96" s="4" t="str">
        <f t="shared" si="18"/>
        <v>5680::::IJARAH - TAWTHEEQH</v>
      </c>
      <c r="M96" s="4"/>
      <c r="N96" s="4">
        <v>6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 t="s">
        <v>0</v>
      </c>
      <c r="AC96" s="4">
        <v>55587</v>
      </c>
      <c r="AD96" s="4"/>
      <c r="AE96" s="4"/>
      <c r="AF96" s="4"/>
      <c r="AG96" s="8"/>
      <c r="AH96" s="13" t="str">
        <f t="shared" si="20"/>
        <v>TAPL.5680|DETAIL|5680::::IJARAH - TAWTHEEQH||6||||||||||||||PL|55587||||</v>
      </c>
    </row>
    <row r="97" spans="1:35" x14ac:dyDescent="0.2">
      <c r="A97" s="21" t="s">
        <v>311</v>
      </c>
      <c r="B97" s="6" t="s">
        <v>86</v>
      </c>
      <c r="C97" s="6"/>
      <c r="D97" s="23"/>
      <c r="E97" s="4" t="s">
        <v>353</v>
      </c>
      <c r="F97" s="4" t="s">
        <v>11</v>
      </c>
      <c r="G97" s="53">
        <v>5690</v>
      </c>
      <c r="H97" s="4"/>
      <c r="I97" s="4" t="s">
        <v>534</v>
      </c>
      <c r="J97" s="4" t="str">
        <f t="shared" si="19"/>
        <v>TAPL.5690</v>
      </c>
      <c r="K97" s="4" t="s">
        <v>11</v>
      </c>
      <c r="L97" s="4" t="str">
        <f t="shared" si="18"/>
        <v>5690::::IJARAH - SIMRAH UPLOAD</v>
      </c>
      <c r="M97" s="4"/>
      <c r="N97" s="4">
        <v>6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0</v>
      </c>
      <c r="AC97" s="4">
        <v>55575</v>
      </c>
      <c r="AD97" s="4"/>
      <c r="AE97" s="4"/>
      <c r="AF97" s="4"/>
      <c r="AG97" s="8"/>
      <c r="AH97" s="13" t="str">
        <f t="shared" si="20"/>
        <v>TAPL.5690|DETAIL|5690::::IJARAH - SIMRAH UPLOAD||6||||||||||||||PL|55575||||</v>
      </c>
    </row>
    <row r="98" spans="1:35" x14ac:dyDescent="0.2">
      <c r="A98" s="21" t="s">
        <v>312</v>
      </c>
      <c r="B98" s="6" t="s">
        <v>86</v>
      </c>
      <c r="C98" s="6"/>
      <c r="D98" s="23"/>
      <c r="E98" s="4" t="s">
        <v>354</v>
      </c>
      <c r="F98" s="4" t="s">
        <v>11</v>
      </c>
      <c r="G98" s="53">
        <v>5700</v>
      </c>
      <c r="H98" s="4"/>
      <c r="I98" s="4" t="s">
        <v>535</v>
      </c>
      <c r="J98" s="4" t="str">
        <f t="shared" si="19"/>
        <v>TAPL.5700</v>
      </c>
      <c r="K98" s="4" t="s">
        <v>11</v>
      </c>
      <c r="L98" s="4" t="str">
        <f t="shared" si="18"/>
        <v>5700::::IJARAH - SIMRAH DOWNLOAD</v>
      </c>
      <c r="M98" s="4"/>
      <c r="N98" s="4">
        <v>6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0</v>
      </c>
      <c r="AC98" s="4">
        <v>55578</v>
      </c>
      <c r="AD98" s="4"/>
      <c r="AE98" s="4"/>
      <c r="AF98" s="4"/>
      <c r="AG98" s="8"/>
      <c r="AH98" s="13" t="str">
        <f t="shared" si="20"/>
        <v>TAPL.5700|DETAIL|5700::::IJARAH - SIMRAH DOWNLOAD||6||||||||||||||PL|55578||||</v>
      </c>
    </row>
    <row r="99" spans="1:35" x14ac:dyDescent="0.2">
      <c r="A99" s="21" t="s">
        <v>313</v>
      </c>
      <c r="B99" s="6" t="s">
        <v>86</v>
      </c>
      <c r="C99" s="6"/>
      <c r="D99" s="23"/>
      <c r="E99" s="4" t="s">
        <v>355</v>
      </c>
      <c r="F99" s="4" t="s">
        <v>11</v>
      </c>
      <c r="G99" s="53">
        <v>5710</v>
      </c>
      <c r="H99" s="4"/>
      <c r="I99" s="4" t="s">
        <v>705</v>
      </c>
      <c r="J99" s="4" t="str">
        <f t="shared" si="19"/>
        <v>TAPL.5710</v>
      </c>
      <c r="K99" s="4" t="s">
        <v>11</v>
      </c>
      <c r="L99" s="4" t="str">
        <f t="shared" si="18"/>
        <v>5710::::IJARAH - ROSOM</v>
      </c>
      <c r="M99" s="4"/>
      <c r="N99" s="4">
        <v>6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0</v>
      </c>
      <c r="AC99" s="4">
        <v>55581</v>
      </c>
      <c r="AD99" s="4"/>
      <c r="AE99" s="4"/>
      <c r="AF99" s="4"/>
      <c r="AG99" s="8"/>
      <c r="AH99" s="13" t="str">
        <f t="shared" si="20"/>
        <v>TAPL.5710|DETAIL|5710::::IJARAH - ROSOM||6||||||||||||||PL|55581||||</v>
      </c>
    </row>
    <row r="100" spans="1:35" x14ac:dyDescent="0.2">
      <c r="A100" s="21" t="s">
        <v>314</v>
      </c>
      <c r="B100" s="6" t="s">
        <v>86</v>
      </c>
      <c r="C100" s="6"/>
      <c r="D100" s="23"/>
      <c r="E100" s="4" t="s">
        <v>356</v>
      </c>
      <c r="F100" s="4" t="s">
        <v>11</v>
      </c>
      <c r="G100" s="53">
        <v>5720</v>
      </c>
      <c r="H100" s="4"/>
      <c r="I100" s="4" t="s">
        <v>536</v>
      </c>
      <c r="J100" s="4" t="str">
        <f t="shared" si="19"/>
        <v>TAPL.5720</v>
      </c>
      <c r="K100" s="4" t="s">
        <v>11</v>
      </c>
      <c r="L100" s="4" t="str">
        <f t="shared" si="18"/>
        <v>5720::::IJARAH - NAFITH</v>
      </c>
      <c r="M100" s="4"/>
      <c r="N100" s="4">
        <v>6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0</v>
      </c>
      <c r="AC100" s="4">
        <v>55584</v>
      </c>
      <c r="AD100" s="4"/>
      <c r="AE100" s="4"/>
      <c r="AF100" s="4"/>
      <c r="AG100" s="8"/>
      <c r="AH100" s="13" t="str">
        <f t="shared" si="20"/>
        <v>TAPL.5720|DETAIL|5720::::IJARAH - NAFITH||6||||||||||||||PL|55584||||</v>
      </c>
    </row>
    <row r="101" spans="1:35" x14ac:dyDescent="0.2">
      <c r="A101" s="64"/>
      <c r="B101" s="16" t="s">
        <v>86</v>
      </c>
      <c r="C101" s="16"/>
      <c r="D101" s="16"/>
      <c r="E101" s="5" t="s">
        <v>365</v>
      </c>
      <c r="F101" s="5" t="s">
        <v>12</v>
      </c>
      <c r="G101" s="67" t="s">
        <v>30</v>
      </c>
      <c r="H101" s="5"/>
      <c r="I101" s="5" t="s">
        <v>542</v>
      </c>
      <c r="J101" s="5" t="str">
        <f t="shared" si="19"/>
        <v>TAPL.6000</v>
      </c>
      <c r="K101" s="5" t="s">
        <v>12</v>
      </c>
      <c r="L101" s="5" t="str">
        <f t="shared" si="18"/>
        <v>***::::TOT - IJARAH API EXPENSE</v>
      </c>
      <c r="M101" s="5">
        <v>6</v>
      </c>
      <c r="N101" s="5">
        <v>5</v>
      </c>
      <c r="O101" s="5"/>
      <c r="P101" s="5"/>
      <c r="Q101" s="5">
        <v>1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9"/>
      <c r="AH101" s="13" t="str">
        <f t="shared" si="20"/>
        <v>TAPL.6000|TOTAL|***::::TOT - IJARAH API EXPENSE|6|5|||1||||||||||||||||</v>
      </c>
    </row>
    <row r="102" spans="1:35" x14ac:dyDescent="0.2">
      <c r="A102" s="64"/>
      <c r="B102" s="16" t="s">
        <v>86</v>
      </c>
      <c r="C102" s="16"/>
      <c r="D102" s="16"/>
      <c r="E102" s="5" t="s">
        <v>366</v>
      </c>
      <c r="F102" s="5" t="s">
        <v>12</v>
      </c>
      <c r="G102" s="67" t="s">
        <v>30</v>
      </c>
      <c r="H102" s="5"/>
      <c r="I102" s="5" t="s">
        <v>543</v>
      </c>
      <c r="J102" s="5" t="str">
        <f t="shared" si="19"/>
        <v>TAPL.6010</v>
      </c>
      <c r="K102" s="5" t="s">
        <v>12</v>
      </c>
      <c r="L102" s="5" t="str">
        <f t="shared" si="18"/>
        <v>***::::TOT - API EXPENSES</v>
      </c>
      <c r="M102" s="5">
        <v>5</v>
      </c>
      <c r="N102" s="5">
        <v>4</v>
      </c>
      <c r="O102" s="5"/>
      <c r="P102" s="5"/>
      <c r="Q102" s="5">
        <v>1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9"/>
      <c r="AH102" s="13" t="str">
        <f t="shared" si="20"/>
        <v>TAPL.6010|TOTAL|***::::TOT - API EXPENSES|5|4|||1||||||||||||||||</v>
      </c>
    </row>
    <row r="103" spans="1:35" x14ac:dyDescent="0.2">
      <c r="A103" s="56" t="s">
        <v>240</v>
      </c>
      <c r="B103" s="3" t="s">
        <v>86</v>
      </c>
      <c r="C103" s="3">
        <v>10</v>
      </c>
      <c r="D103" s="18">
        <v>3500</v>
      </c>
      <c r="E103" s="2" t="s">
        <v>373</v>
      </c>
      <c r="F103" s="2" t="s">
        <v>10</v>
      </c>
      <c r="G103" s="50" t="s">
        <v>22</v>
      </c>
      <c r="H103" s="2"/>
      <c r="I103" s="62" t="s">
        <v>73</v>
      </c>
      <c r="J103" s="2" t="str">
        <f t="shared" si="19"/>
        <v>TAPL.6015</v>
      </c>
      <c r="K103" s="2" t="s">
        <v>10</v>
      </c>
      <c r="L103" s="2" t="str">
        <f t="shared" si="1"/>
        <v>**::::BAD DEBTS WRITTEN OFF</v>
      </c>
      <c r="M103" s="3"/>
      <c r="N103" s="2"/>
      <c r="O103" s="2"/>
      <c r="P103" s="2"/>
      <c r="Q103" s="2">
        <v>1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7"/>
      <c r="AH103" s="13" t="str">
        <f t="shared" si="20"/>
        <v>TAPL.6015|HEADING|**::::BAD DEBTS WRITTEN OFF|||||1||||||||||||||||</v>
      </c>
    </row>
    <row r="104" spans="1:35" x14ac:dyDescent="0.2">
      <c r="A104" s="21" t="s">
        <v>274</v>
      </c>
      <c r="B104" s="6" t="s">
        <v>86</v>
      </c>
      <c r="C104" s="6">
        <v>10</v>
      </c>
      <c r="D104" s="23">
        <v>3510</v>
      </c>
      <c r="E104" s="4" t="s">
        <v>357</v>
      </c>
      <c r="F104" s="4" t="s">
        <v>11</v>
      </c>
      <c r="G104" s="53">
        <v>6020</v>
      </c>
      <c r="H104" s="4"/>
      <c r="I104" s="4" t="s">
        <v>252</v>
      </c>
      <c r="J104" s="4" t="str">
        <f t="shared" si="19"/>
        <v>TAPL.6020</v>
      </c>
      <c r="K104" s="4" t="s">
        <v>11</v>
      </c>
      <c r="L104" s="4" t="str">
        <f t="shared" si="1"/>
        <v>6020::::WRITE OFF EXPENSE PRINCIPAL</v>
      </c>
      <c r="M104" s="4"/>
      <c r="N104" s="4">
        <v>5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 t="s">
        <v>0</v>
      </c>
      <c r="AC104" s="4">
        <v>54203</v>
      </c>
      <c r="AD104" s="4"/>
      <c r="AE104" s="4"/>
      <c r="AF104" s="4"/>
      <c r="AG104" s="8"/>
      <c r="AH104" s="13" t="str">
        <f t="shared" si="20"/>
        <v>TAPL.6020|DETAIL|6020::::WRITE OFF EXPENSE PRINCIPAL||5||||||||||||||PL|54203||||</v>
      </c>
      <c r="AI104" s="1" t="str">
        <f>+_xlfn.XLOOKUP(E104,'[2]Personal Finance - TB (2)'!$J:$J,'[2]Personal Finance - TB (2)'!$G:$G,"",0)</f>
        <v/>
      </c>
    </row>
    <row r="105" spans="1:35" x14ac:dyDescent="0.2">
      <c r="A105" s="21" t="s">
        <v>275</v>
      </c>
      <c r="B105" s="6" t="s">
        <v>86</v>
      </c>
      <c r="C105" s="6">
        <v>10</v>
      </c>
      <c r="D105" s="23">
        <v>3520</v>
      </c>
      <c r="E105" s="4" t="s">
        <v>358</v>
      </c>
      <c r="F105" s="4" t="s">
        <v>11</v>
      </c>
      <c r="G105" s="53">
        <v>6030</v>
      </c>
      <c r="H105" s="4"/>
      <c r="I105" s="4" t="s">
        <v>253</v>
      </c>
      <c r="J105" s="4" t="str">
        <f t="shared" si="19"/>
        <v>TAPL.6030</v>
      </c>
      <c r="K105" s="4" t="s">
        <v>11</v>
      </c>
      <c r="L105" s="4" t="str">
        <f t="shared" si="1"/>
        <v>6030::::WRITE OFF EXPENSE PROFIT</v>
      </c>
      <c r="M105" s="4"/>
      <c r="N105" s="4">
        <v>5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0</v>
      </c>
      <c r="AC105" s="4">
        <v>54201</v>
      </c>
      <c r="AD105" s="4"/>
      <c r="AE105" s="4"/>
      <c r="AF105" s="4"/>
      <c r="AG105" s="8"/>
      <c r="AH105" s="13" t="str">
        <f t="shared" si="20"/>
        <v>TAPL.6030|DETAIL|6030::::WRITE OFF EXPENSE PROFIT||5||||||||||||||PL|54201||||</v>
      </c>
      <c r="AI105" s="1" t="s">
        <v>98</v>
      </c>
    </row>
    <row r="106" spans="1:35" x14ac:dyDescent="0.2">
      <c r="A106" s="21" t="s">
        <v>276</v>
      </c>
      <c r="B106" s="6" t="s">
        <v>86</v>
      </c>
      <c r="C106" s="6">
        <v>10</v>
      </c>
      <c r="D106" s="23">
        <v>3530</v>
      </c>
      <c r="E106" s="4" t="s">
        <v>359</v>
      </c>
      <c r="F106" s="4" t="s">
        <v>11</v>
      </c>
      <c r="G106" s="53">
        <v>6040</v>
      </c>
      <c r="H106" s="4"/>
      <c r="I106" s="4" t="s">
        <v>254</v>
      </c>
      <c r="J106" s="4" t="str">
        <f t="shared" si="19"/>
        <v>TAPL.6040</v>
      </c>
      <c r="K106" s="4" t="s">
        <v>11</v>
      </c>
      <c r="L106" s="4" t="str">
        <f t="shared" si="1"/>
        <v>6040::::WRITE OFF EXPENSE CHARGS</v>
      </c>
      <c r="M106" s="4"/>
      <c r="N106" s="4">
        <v>5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 t="s">
        <v>0</v>
      </c>
      <c r="AC106" s="4">
        <v>54202</v>
      </c>
      <c r="AD106" s="4"/>
      <c r="AE106" s="4"/>
      <c r="AF106" s="4"/>
      <c r="AG106" s="8"/>
      <c r="AH106" s="13" t="str">
        <f t="shared" si="20"/>
        <v>TAPL.6040|DETAIL|6040::::WRITE OFF EXPENSE CHARGS||5||||||||||||||PL|54202||||</v>
      </c>
    </row>
    <row r="107" spans="1:35" x14ac:dyDescent="0.2">
      <c r="A107" s="21" t="s">
        <v>277</v>
      </c>
      <c r="B107" s="6" t="s">
        <v>86</v>
      </c>
      <c r="C107" s="6">
        <v>10</v>
      </c>
      <c r="D107" s="23">
        <v>3540</v>
      </c>
      <c r="E107" s="4" t="s">
        <v>360</v>
      </c>
      <c r="F107" s="4" t="s">
        <v>11</v>
      </c>
      <c r="G107" s="53">
        <v>6050</v>
      </c>
      <c r="H107" s="4"/>
      <c r="I107" s="4" t="s">
        <v>255</v>
      </c>
      <c r="J107" s="4" t="str">
        <f t="shared" si="19"/>
        <v>TAPL.6050</v>
      </c>
      <c r="K107" s="4" t="s">
        <v>11</v>
      </c>
      <c r="L107" s="4" t="str">
        <f t="shared" si="1"/>
        <v>6050::::WRITE OFF EXPENSE VAT</v>
      </c>
      <c r="M107" s="4"/>
      <c r="N107" s="4">
        <v>5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0</v>
      </c>
      <c r="AC107" s="4">
        <v>54204</v>
      </c>
      <c r="AD107" s="4"/>
      <c r="AE107" s="4"/>
      <c r="AF107" s="4"/>
      <c r="AG107" s="8"/>
      <c r="AH107" s="13" t="str">
        <f t="shared" si="20"/>
        <v>TAPL.6050|DETAIL|6050::::WRITE OFF EXPENSE VAT||5||||||||||||||PL|54204||||</v>
      </c>
    </row>
    <row r="108" spans="1:35" x14ac:dyDescent="0.2">
      <c r="A108" s="64"/>
      <c r="B108" s="16" t="s">
        <v>86</v>
      </c>
      <c r="C108" s="16">
        <v>120</v>
      </c>
      <c r="D108" s="16">
        <v>3550</v>
      </c>
      <c r="E108" s="5" t="s">
        <v>374</v>
      </c>
      <c r="F108" s="5" t="s">
        <v>12</v>
      </c>
      <c r="G108" s="67" t="s">
        <v>30</v>
      </c>
      <c r="H108" s="5"/>
      <c r="I108" s="5" t="s">
        <v>74</v>
      </c>
      <c r="J108" s="5" t="str">
        <f t="shared" si="19"/>
        <v>TAPL.6500</v>
      </c>
      <c r="K108" s="5" t="s">
        <v>12</v>
      </c>
      <c r="L108" s="5" t="str">
        <f t="shared" si="1"/>
        <v>***::::TOT - BAD DEBTS WRITTEN OFF</v>
      </c>
      <c r="M108" s="5">
        <v>5</v>
      </c>
      <c r="N108" s="5">
        <v>4</v>
      </c>
      <c r="O108" s="5"/>
      <c r="P108" s="5"/>
      <c r="Q108" s="5">
        <v>1</v>
      </c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9"/>
      <c r="AH108" s="13" t="str">
        <f t="shared" si="20"/>
        <v>TAPL.6500|TOTAL|***::::TOT - BAD DEBTS WRITTEN OFF|5|4|||1||||||||||||||||</v>
      </c>
    </row>
    <row r="109" spans="1:35" x14ac:dyDescent="0.2">
      <c r="A109" s="64"/>
      <c r="B109" s="16" t="s">
        <v>86</v>
      </c>
      <c r="C109" s="16">
        <v>120</v>
      </c>
      <c r="D109" s="16">
        <v>3200</v>
      </c>
      <c r="E109" s="5" t="s">
        <v>375</v>
      </c>
      <c r="F109" s="5" t="s">
        <v>12</v>
      </c>
      <c r="G109" s="67" t="s">
        <v>30</v>
      </c>
      <c r="H109" s="5"/>
      <c r="I109" s="5" t="s">
        <v>72</v>
      </c>
      <c r="J109" s="5" t="str">
        <f t="shared" si="19"/>
        <v>TAPL.7800</v>
      </c>
      <c r="K109" s="5" t="s">
        <v>12</v>
      </c>
      <c r="L109" s="5" t="str">
        <f>+_xlfn.TEXTJOIN("::",FALSE,G109:I109)</f>
        <v>***::::TOT - OPERATING EXPENSES</v>
      </c>
      <c r="M109" s="5">
        <v>4</v>
      </c>
      <c r="N109" s="5">
        <v>3</v>
      </c>
      <c r="O109" s="5"/>
      <c r="P109" s="5"/>
      <c r="Q109" s="5">
        <v>1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9"/>
      <c r="AH109" s="13" t="str">
        <f t="shared" si="20"/>
        <v>TAPL.7800|TOTAL|***::::TOT - OPERATING EXPENSES|4|3|||1||||||||||||||||</v>
      </c>
    </row>
    <row r="110" spans="1:35" x14ac:dyDescent="0.2">
      <c r="A110" s="56">
        <v>2.2000000000000002</v>
      </c>
      <c r="B110" s="3" t="s">
        <v>86</v>
      </c>
      <c r="C110" s="3">
        <v>10</v>
      </c>
      <c r="D110" s="18">
        <v>3950</v>
      </c>
      <c r="E110" s="2" t="s">
        <v>376</v>
      </c>
      <c r="F110" s="2" t="s">
        <v>10</v>
      </c>
      <c r="G110" s="50" t="s">
        <v>22</v>
      </c>
      <c r="H110" s="2"/>
      <c r="I110" s="62" t="s">
        <v>75</v>
      </c>
      <c r="J110" s="2" t="str">
        <f t="shared" si="19"/>
        <v>TAPL.7950</v>
      </c>
      <c r="K110" s="2" t="s">
        <v>10</v>
      </c>
      <c r="L110" s="2" t="str">
        <f t="shared" si="1"/>
        <v>**::::UNALLOCATED ITEMS</v>
      </c>
      <c r="M110" s="3"/>
      <c r="N110" s="2"/>
      <c r="O110" s="2"/>
      <c r="P110" s="2"/>
      <c r="Q110" s="2">
        <v>1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7"/>
      <c r="AH110" s="13" t="str">
        <f t="shared" si="20"/>
        <v>TAPL.7950|HEADING|**::::UNALLOCATED ITEMS|||||1||||||||||||||||</v>
      </c>
    </row>
    <row r="111" spans="1:35" x14ac:dyDescent="0.2">
      <c r="A111" s="21" t="s">
        <v>657</v>
      </c>
      <c r="B111" s="6" t="s">
        <v>86</v>
      </c>
      <c r="C111" s="6">
        <v>10</v>
      </c>
      <c r="D111" s="23">
        <v>3960</v>
      </c>
      <c r="E111" s="4" t="s">
        <v>367</v>
      </c>
      <c r="F111" s="4" t="s">
        <v>11</v>
      </c>
      <c r="G111" s="53">
        <v>8000</v>
      </c>
      <c r="H111" s="4"/>
      <c r="I111" s="4" t="s">
        <v>75</v>
      </c>
      <c r="J111" s="4" t="str">
        <f t="shared" si="19"/>
        <v>TAPL.8000</v>
      </c>
      <c r="K111" s="4" t="s">
        <v>11</v>
      </c>
      <c r="L111" s="4" t="str">
        <f t="shared" si="1"/>
        <v>8000::::UNALLOCATED ITEMS</v>
      </c>
      <c r="M111" s="4"/>
      <c r="N111" s="4">
        <v>4</v>
      </c>
      <c r="O111" s="4"/>
      <c r="P111" s="4"/>
      <c r="Q111" s="4">
        <v>2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8" t="s">
        <v>29</v>
      </c>
      <c r="AH111" s="13" t="str">
        <f t="shared" si="20"/>
        <v>TAPL.8000|DETAIL|8000::::UNALLOCATED ITEMS||4|||2||||||||||||||||DEF</v>
      </c>
      <c r="AI111" s="1" t="str">
        <f>+_xlfn.XLOOKUP(E111,'[2]Personal Finance - TB (2)'!$J:$J,'[2]Personal Finance - TB (2)'!$G:$G,"",0)</f>
        <v/>
      </c>
    </row>
    <row r="112" spans="1:35" x14ac:dyDescent="0.2">
      <c r="A112" s="64"/>
      <c r="B112" s="16" t="s">
        <v>86</v>
      </c>
      <c r="C112" s="16">
        <v>120</v>
      </c>
      <c r="D112" s="16">
        <v>3970</v>
      </c>
      <c r="E112" s="5" t="s">
        <v>377</v>
      </c>
      <c r="F112" s="5" t="s">
        <v>12</v>
      </c>
      <c r="G112" s="67" t="s">
        <v>30</v>
      </c>
      <c r="H112" s="5"/>
      <c r="I112" s="5" t="s">
        <v>76</v>
      </c>
      <c r="J112" s="5" t="str">
        <f t="shared" si="19"/>
        <v>TAPL.8010</v>
      </c>
      <c r="K112" s="5" t="s">
        <v>12</v>
      </c>
      <c r="L112" s="5" t="str">
        <f t="shared" si="1"/>
        <v>***::::TOT - UNALLOCATED ITEMS</v>
      </c>
      <c r="M112" s="5">
        <v>4</v>
      </c>
      <c r="N112" s="5">
        <v>3</v>
      </c>
      <c r="O112" s="5"/>
      <c r="P112" s="5"/>
      <c r="Q112" s="5">
        <v>1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9"/>
      <c r="AH112" s="13" t="str">
        <f t="shared" si="20"/>
        <v>TAPL.8010|TOTAL|***::::TOT - UNALLOCATED ITEMS|4|3|||1||||||||||||||||</v>
      </c>
    </row>
    <row r="113" spans="1:34" x14ac:dyDescent="0.2">
      <c r="A113" s="64"/>
      <c r="B113" s="16" t="s">
        <v>86</v>
      </c>
      <c r="C113" s="16">
        <v>120</v>
      </c>
      <c r="D113" s="16">
        <v>4000</v>
      </c>
      <c r="E113" s="5" t="s">
        <v>378</v>
      </c>
      <c r="F113" s="5" t="s">
        <v>12</v>
      </c>
      <c r="G113" s="67" t="s">
        <v>103</v>
      </c>
      <c r="H113" s="5"/>
      <c r="I113" s="5" t="s">
        <v>77</v>
      </c>
      <c r="J113" s="5" t="str">
        <f t="shared" si="19"/>
        <v>TAPL.8020</v>
      </c>
      <c r="K113" s="5" t="s">
        <v>12</v>
      </c>
      <c r="L113" s="5" t="str">
        <f t="shared" si="1"/>
        <v>****::::TOT - EXPENSES</v>
      </c>
      <c r="M113" s="5">
        <v>3</v>
      </c>
      <c r="N113" s="5">
        <v>2</v>
      </c>
      <c r="O113" s="5"/>
      <c r="P113" s="5"/>
      <c r="Q113" s="5">
        <v>1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9"/>
      <c r="AH113" s="13" t="str">
        <f t="shared" si="20"/>
        <v>TAPL.8020|TOTAL|****::::TOT - EXPENSES|3|2|||1||||||||||||||||</v>
      </c>
    </row>
  </sheetData>
  <autoFilter ref="A2:AI2" xr:uid="{14BF3696-215D-4506-8EAE-99E6B443B8BA}"/>
  <phoneticPr fontId="6" type="noConversion"/>
  <conditionalFormatting sqref="E39:E43">
    <cfRule type="duplicateValues" dxfId="1" priority="15"/>
  </conditionalFormatting>
  <conditionalFormatting sqref="E44:E113 E3:E38">
    <cfRule type="duplicateValues" dxfId="0" priority="16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52439ff8-d87a-4373-8fdd-bcc2aadc5b60" origin="userSelected">
  <element uid="id_classification_nonbusiness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MjQzOWZmOC1kODdhLTQzNzMtOGZkZC1iY2MyYWFkYzViNjAiIG9yaWdpbj0idXNlclNlbGVjdGVkIj48ZWxlbWVudCB1aWQ9ImlkX2NsYXNzaWZpY2F0aW9uX25vbmJ1c2luZXNzIiB2YWx1ZT0iIiB4bWxucz0iaHR0cDovL3d3dy5ib2xkb25qYW1lcy5jb20vMjAwOC8wMS9zaWUvaW50ZXJuYWwvbGFiZWwiIC8+PC9zaXNsPjxVc2VyTmFtZT5UQU1XRUVMLUFMT1VMQVxtb2hhbWVkLnNhZGVrPC9Vc2VyTmFtZT48RGF0ZVRpbWU+Mi8yNS8yMDI2IDEwOjI2OjM3IFBNPC9EYXRlVGltZT48TGFiZWxTdHJpbmc+UHVibGljPC9MYWJlbFN0cmluZz48L2l0ZW0+PC9sYWJlbEhpc3Rvcnk+</Value>
</WrappedLabelHistory>
</file>

<file path=customXml/itemProps1.xml><?xml version="1.0" encoding="utf-8"?>
<ds:datastoreItem xmlns:ds="http://schemas.openxmlformats.org/officeDocument/2006/customXml" ds:itemID="{6230CDE1-0D7A-4390-B247-3FEFA18BE4A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306B877-9FCD-4C52-B34A-3AC17D95B842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TABS</vt:lpstr>
      <vt:lpstr>TAPL</vt:lpstr>
      <vt:lpstr>TABS Mapping</vt:lpstr>
      <vt:lpstr>TAPL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Tamweel_Aloula_BJ_Public</cp:keywords>
  <cp:lastModifiedBy/>
  <dcterms:created xsi:type="dcterms:W3CDTF">2015-06-05T18:17:20Z</dcterms:created>
  <dcterms:modified xsi:type="dcterms:W3CDTF">2026-03-01T17:38:15Z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259b5641-38b6-4a55-be8a-c3ce71c208fd</vt:lpwstr>
  </property>
  <property fmtid="{D5CDD505-2E9C-101B-9397-08002B2CF9AE}" pid="3" name="bjSaver">
    <vt:lpwstr>sYvom+vPr5iIAbcsHhASHIsMr1lzI3Dv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policy="52439ff8-d87a-4373-8fdd-bcc2aadc5b60"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Classification">
    <vt:lpwstr>Tamweel_Aloula_BJ_Public</vt:lpwstr>
  </property>
  <property fmtid="{D5CDD505-2E9C-101B-9397-08002B2CF9AE}" pid="8" name="bjClsUserRVM">
    <vt:lpwstr>[]</vt:lpwstr>
  </property>
  <property fmtid="{D5CDD505-2E9C-101B-9397-08002B2CF9AE}" pid="9" name="bjLabelHistoryID">
    <vt:lpwstr>{5306B877-9FCD-4C52-B34A-3AC17D95B842}</vt:lpwstr>
  </property>
  <property fmtid="{D5CDD505-2E9C-101B-9397-08002B2CF9AE}" pid="10" name="bjLeftFooterLabel-first">
    <vt:lpwstr>&amp;"Calibri Light,Regular"&amp;09&amp;K00C000Public</vt:lpwstr>
  </property>
  <property fmtid="{D5CDD505-2E9C-101B-9397-08002B2CF9AE}" pid="11" name="bjLeftFooterLabel-even">
    <vt:lpwstr>&amp;"Calibri Light,Regular"&amp;09&amp;K00C000Public</vt:lpwstr>
  </property>
  <property fmtid="{D5CDD505-2E9C-101B-9397-08002B2CF9AE}" pid="12" name="bjLeftFooterLabel">
    <vt:lpwstr>&amp;"Calibri Light,Regular"&amp;09&amp;K00C000Public</vt:lpwstr>
  </property>
</Properties>
</file>