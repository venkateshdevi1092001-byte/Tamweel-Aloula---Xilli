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xr:revisionPtr revIDLastSave="0" documentId="8_{D39CC882-5E33-44C7-8F17-458582344EAD}" xr6:coauthVersionLast="47" xr6:coauthVersionMax="47" xr10:uidLastSave="{00000000-0000-0000-0000-000000000000}"/>
  <bookViews>
    <workbookView xWindow="-120" yWindow="-120" windowWidth="20730" windowHeight="11040" xr2:uid="{FBEDC2F1-5BB0-4BFF-83E2-E29B26559CB5}"/>
  </bookViews>
  <sheets>
    <sheet name="TWQ Accounting Entries - Disb" sheetId="1" r:id="rId1"/>
  </sheets>
  <externalReferences>
    <externalReference r:id="rId2"/>
    <externalReference r:id="rId3"/>
  </externalReferences>
  <definedNames>
    <definedName name="a">#REF!</definedName>
    <definedName name="Attendance" comment="Please Select 'N/A' if not applicable, 'No' if a designated attendee was not in attendance and 'Yes' if the attendee was in attendance">#REF!</definedName>
    <definedName name="BSDStatus">#REF!</definedName>
    <definedName name="Effort">#REF!</definedName>
    <definedName name="fhgcnhfv">'[2]Drop Down Fields'!$D$16:$D$19</definedName>
    <definedName name="FollowUPCategory">#REF!</definedName>
    <definedName name="FollowUpStatus">#REF!</definedName>
    <definedName name="FSDStatus">#REF!</definedName>
    <definedName name="GapPriority">#REF!</definedName>
    <definedName name="GapStatus">#REF!</definedName>
    <definedName name="Level">#REF!</definedName>
    <definedName name="MoSCoW">#REF!</definedName>
    <definedName name="NewGapStatus">#REF!</definedName>
    <definedName name="NewGapType">#REF!</definedName>
    <definedName name="Owner">#REF!</definedName>
    <definedName name="Priority">#REF!</definedName>
    <definedName name="ProcessStatus">#REF!</definedName>
    <definedName name="RAG">#REF!</definedName>
    <definedName name="ScopingGapStatus">#REF!</definedName>
    <definedName name="ScopingGapType">#REF!</definedName>
    <definedName name="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7" i="1" l="1"/>
  <c r="E38" i="1" s="1"/>
  <c r="H5" i="1"/>
  <c r="E40" i="1" l="1"/>
  <c r="E41" i="1" s="1"/>
</calcChain>
</file>

<file path=xl/sharedStrings.xml><?xml version="1.0" encoding="utf-8"?>
<sst xmlns="http://schemas.openxmlformats.org/spreadsheetml/2006/main" count="276" uniqueCount="84">
  <si>
    <t>Stage</t>
  </si>
  <si>
    <t>Debit/Credit</t>
  </si>
  <si>
    <t>Accounting Entries</t>
  </si>
  <si>
    <t>Description</t>
  </si>
  <si>
    <t>Core/ Customized</t>
  </si>
  <si>
    <t>Offer Acceptance</t>
  </si>
  <si>
    <t>DR</t>
  </si>
  <si>
    <t>Inventory - IA</t>
  </si>
  <si>
    <t xml:space="preserve">Internal Account </t>
  </si>
  <si>
    <t>Finance Amount</t>
  </si>
  <si>
    <t>CR</t>
  </si>
  <si>
    <t>Admin Fee 1%</t>
  </si>
  <si>
    <t>VAT</t>
  </si>
  <si>
    <t>Status - Purchase</t>
  </si>
  <si>
    <t>Purchases</t>
  </si>
  <si>
    <t>Purchase</t>
  </si>
  <si>
    <t>Finance / Sale</t>
  </si>
  <si>
    <t>CURACCOUNT</t>
  </si>
  <si>
    <t>AA Arrangeement - ACCOUNT</t>
  </si>
  <si>
    <t>RECDEFPFT</t>
  </si>
  <si>
    <t xml:space="preserve">Profit Receivable </t>
  </si>
  <si>
    <t>ACCDEFPFT</t>
  </si>
  <si>
    <t>Unearned Accrued Profit</t>
  </si>
  <si>
    <t>Admin Fee Due with VAT</t>
  </si>
  <si>
    <t>Dr</t>
  </si>
  <si>
    <t>DUEADMINFEE</t>
  </si>
  <si>
    <t xml:space="preserve">Admin Fee </t>
  </si>
  <si>
    <t>Cr</t>
  </si>
  <si>
    <t>ACCADMINFEE</t>
  </si>
  <si>
    <t>Unamortise Admin Fee</t>
  </si>
  <si>
    <t>DUEVAT</t>
  </si>
  <si>
    <t>VAT Payable</t>
  </si>
  <si>
    <t>Brokerage Fee</t>
  </si>
  <si>
    <t>BROKERFEE - PL</t>
  </si>
  <si>
    <t>Brokerage Fee Expense</t>
  </si>
  <si>
    <t>Internal Payable</t>
  </si>
  <si>
    <t>Brokerage Fee Payable</t>
  </si>
  <si>
    <t>Payment to Customer</t>
  </si>
  <si>
    <t>Customer's Account</t>
  </si>
  <si>
    <t xml:space="preserve">Disbursment/Repayment Account </t>
  </si>
  <si>
    <t>Broker Settlement
(incase of different)</t>
  </si>
  <si>
    <t>Recovery of Admin Fee &amp; VAT</t>
  </si>
  <si>
    <t>Actual Repayment to Customer (Net of Financing)</t>
  </si>
  <si>
    <t>XYZ bank account- customer current account</t>
  </si>
  <si>
    <t>Daily Realization Profit</t>
  </si>
  <si>
    <t>Unearned Accrued  Profit</t>
  </si>
  <si>
    <t>PL/ Income</t>
  </si>
  <si>
    <t>PL Category</t>
  </si>
  <si>
    <t>Daily Realization of Admin Fee</t>
  </si>
  <si>
    <t>Unamortised Admin Fee</t>
  </si>
  <si>
    <t xml:space="preserve">On Installment Date </t>
  </si>
  <si>
    <t xml:space="preserve">DUEACCOUNT </t>
  </si>
  <si>
    <t xml:space="preserve">Principal Portion due of Installment </t>
  </si>
  <si>
    <t>By Core</t>
  </si>
  <si>
    <t>AA Arrangement - ACCOUNT</t>
  </si>
  <si>
    <t>DUEDEFPFT</t>
  </si>
  <si>
    <t xml:space="preserve">Profit Portion due of Installment </t>
  </si>
  <si>
    <t>Repayment of Finance</t>
  </si>
  <si>
    <t xml:space="preserve">Customer's Account </t>
  </si>
  <si>
    <t>DUEACCOUNT</t>
  </si>
  <si>
    <t>Principal portion of repayment</t>
  </si>
  <si>
    <t>Profit portion of repayment</t>
  </si>
  <si>
    <t>Payoff</t>
  </si>
  <si>
    <t>Outstanding Principal Amount</t>
  </si>
  <si>
    <t>Outstanding Profit Amount</t>
  </si>
  <si>
    <t>Unearned Accrued Profit Amount</t>
  </si>
  <si>
    <t>With Bonus amount if applied</t>
  </si>
  <si>
    <t>Cancellation – Cooling Period</t>
  </si>
  <si>
    <t>Reversal of Admin Fee</t>
  </si>
  <si>
    <t>Income GL</t>
  </si>
  <si>
    <t>Customer A/c.</t>
  </si>
  <si>
    <t>Reversal of Profit</t>
  </si>
  <si>
    <t>Unearned Profit</t>
  </si>
  <si>
    <t>Principal Settlement</t>
  </si>
  <si>
    <t>Early Settlement</t>
  </si>
  <si>
    <t>DUEEARLYFEE</t>
  </si>
  <si>
    <t>Due Early Settlement Fee</t>
  </si>
  <si>
    <t>PL/ Expense</t>
  </si>
  <si>
    <t>PAYBONUS</t>
  </si>
  <si>
    <t>Bonus / Rebate</t>
  </si>
  <si>
    <t>Amount</t>
  </si>
  <si>
    <t>Buy Broker's - Fajr</t>
  </si>
  <si>
    <t>Sell Broker's - Ashton</t>
  </si>
  <si>
    <t>Tamweel's Nostro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</si>
</sst>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b/>
      <sz val="10"/>
      <name val="Cambria"/>
      <family val="1"/>
    </font>
    <font>
      <sz val="10"/>
      <name val="Cambria"/>
      <family val="1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2" fillId="0" borderId="0" xfId="0" applyFont="1" applyFill="1"/>
    <xf numFmtId="0" fontId="3" fillId="0" borderId="30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0" xfId="0" applyFont="1" applyFill="1"/>
    <xf numFmtId="0" fontId="2" fillId="0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vertical="center"/>
    </xf>
    <xf numFmtId="43" fontId="2" fillId="0" borderId="13" xfId="1" applyFont="1" applyFill="1" applyBorder="1" applyAlignment="1">
      <alignment vertical="center"/>
    </xf>
    <xf numFmtId="0" fontId="2" fillId="0" borderId="28" xfId="0" applyFont="1" applyFill="1" applyBorder="1"/>
    <xf numFmtId="0" fontId="2" fillId="0" borderId="3" xfId="0" applyFont="1" applyFill="1" applyBorder="1"/>
    <xf numFmtId="43" fontId="2" fillId="0" borderId="4" xfId="1" applyFont="1" applyFill="1" applyBorder="1"/>
    <xf numFmtId="43" fontId="2" fillId="0" borderId="13" xfId="0" applyNumberFormat="1" applyFont="1" applyFill="1" applyBorder="1" applyAlignment="1">
      <alignment vertical="center"/>
    </xf>
    <xf numFmtId="0" fontId="2" fillId="0" borderId="15" xfId="0" applyFont="1" applyFill="1" applyBorder="1"/>
    <xf numFmtId="0" fontId="2" fillId="0" borderId="12" xfId="0" applyFont="1" applyFill="1" applyBorder="1"/>
    <xf numFmtId="43" fontId="2" fillId="0" borderId="13" xfId="0" applyNumberFormat="1" applyFont="1" applyFill="1" applyBorder="1"/>
    <xf numFmtId="0" fontId="3" fillId="0" borderId="30" xfId="0" applyFont="1" applyFill="1" applyBorder="1" applyAlignment="1">
      <alignment horizontal="center" vertical="center"/>
    </xf>
    <xf numFmtId="43" fontId="2" fillId="0" borderId="13" xfId="0" applyNumberFormat="1" applyFont="1" applyFill="1" applyBorder="1" applyAlignment="1">
      <alignment horizontal="center" vertical="center"/>
    </xf>
    <xf numFmtId="0" fontId="3" fillId="0" borderId="32" xfId="0" applyFont="1" applyFill="1" applyBorder="1" applyAlignment="1">
      <alignment horizontal="center" vertical="center"/>
    </xf>
    <xf numFmtId="0" fontId="3" fillId="0" borderId="33" xfId="0" applyFont="1" applyFill="1" applyBorder="1" applyAlignment="1">
      <alignment horizontal="center" vertical="center" wrapText="1"/>
    </xf>
    <xf numFmtId="0" fontId="3" fillId="0" borderId="34" xfId="0" applyFont="1" applyFill="1" applyBorder="1" applyAlignment="1">
      <alignment horizontal="center" vertical="center" wrapText="1"/>
    </xf>
    <xf numFmtId="0" fontId="3" fillId="0" borderId="35" xfId="0" applyFont="1" applyFill="1" applyBorder="1" applyAlignment="1">
      <alignment horizontal="center" vertical="center" wrapText="1"/>
    </xf>
    <xf numFmtId="0" fontId="3" fillId="0" borderId="35" xfId="0" applyFont="1" applyFill="1" applyBorder="1" applyAlignment="1">
      <alignment horizontal="center" vertical="center"/>
    </xf>
    <xf numFmtId="0" fontId="3" fillId="0" borderId="33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/>
    <xf numFmtId="0" fontId="5" fillId="0" borderId="12" xfId="0" applyFont="1" applyFill="1" applyBorder="1" applyAlignment="1">
      <alignment vertical="center"/>
    </xf>
    <xf numFmtId="43" fontId="2" fillId="0" borderId="13" xfId="1" applyFont="1" applyFill="1" applyBorder="1" applyAlignment="1">
      <alignment horizontal="center" vertical="center"/>
    </xf>
    <xf numFmtId="43" fontId="5" fillId="0" borderId="13" xfId="1" applyFont="1" applyFill="1" applyBorder="1" applyAlignment="1">
      <alignment horizontal="center" vertical="center"/>
    </xf>
    <xf numFmtId="0" fontId="5" fillId="0" borderId="0" xfId="0" applyFont="1" applyFill="1"/>
    <xf numFmtId="0" fontId="3" fillId="0" borderId="30" xfId="0" applyFont="1" applyFill="1" applyBorder="1" applyAlignment="1">
      <alignment horizontal="center" vertical="center" wrapText="1"/>
    </xf>
    <xf numFmtId="0" fontId="3" fillId="0" borderId="31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/>
    <xf numFmtId="0" fontId="4" fillId="0" borderId="12" xfId="0" applyFont="1" applyFill="1" applyBorder="1" applyAlignment="1">
      <alignment vertical="center"/>
    </xf>
    <xf numFmtId="0" fontId="2" fillId="0" borderId="0" xfId="0" applyFont="1" applyFill="1" applyBorder="1"/>
    <xf numFmtId="0" fontId="3" fillId="0" borderId="21" xfId="0" applyFont="1" applyFill="1" applyBorder="1" applyAlignment="1">
      <alignment horizontal="center" vertical="center" wrapText="1"/>
    </xf>
    <xf numFmtId="0" fontId="2" fillId="0" borderId="22" xfId="0" applyFont="1" applyFill="1" applyBorder="1" applyAlignment="1">
      <alignment horizontal="center" vertical="center" wrapText="1"/>
    </xf>
    <xf numFmtId="0" fontId="2" fillId="0" borderId="22" xfId="0" applyFont="1" applyFill="1" applyBorder="1" applyAlignment="1">
      <alignment vertical="center"/>
    </xf>
    <xf numFmtId="43" fontId="2" fillId="0" borderId="23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43" fontId="2" fillId="0" borderId="20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 wrapText="1"/>
    </xf>
    <xf numFmtId="0" fontId="2" fillId="0" borderId="8" xfId="0" applyFont="1" applyFill="1" applyBorder="1"/>
    <xf numFmtId="43" fontId="2" fillId="0" borderId="9" xfId="0" applyNumberFormat="1" applyFont="1" applyFill="1" applyBorder="1"/>
    <xf numFmtId="0" fontId="3" fillId="0" borderId="7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 wrapText="1"/>
    </xf>
    <xf numFmtId="0" fontId="2" fillId="0" borderId="17" xfId="0" applyFont="1" applyFill="1" applyBorder="1"/>
    <xf numFmtId="0" fontId="2" fillId="0" borderId="17" xfId="0" applyFont="1" applyFill="1" applyBorder="1" applyAlignment="1">
      <alignment vertical="center"/>
    </xf>
    <xf numFmtId="0" fontId="2" fillId="0" borderId="18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vertical="center"/>
    </xf>
    <xf numFmtId="0" fontId="3" fillId="0" borderId="11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wrapText="1"/>
    </xf>
    <xf numFmtId="0" fontId="2" fillId="0" borderId="3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wrapText="1"/>
    </xf>
    <xf numFmtId="0" fontId="2" fillId="0" borderId="12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2" fillId="0" borderId="26" xfId="0" applyFont="1" applyFill="1" applyBorder="1" applyAlignment="1">
      <alignment vertical="center"/>
    </xf>
    <xf numFmtId="0" fontId="2" fillId="0" borderId="26" xfId="0" applyFont="1" applyFill="1" applyBorder="1" applyAlignment="1">
      <alignment wrapText="1"/>
    </xf>
    <xf numFmtId="0" fontId="2" fillId="0" borderId="8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wrapText="1"/>
    </xf>
    <xf numFmtId="0" fontId="5" fillId="0" borderId="12" xfId="0" applyFont="1" applyFill="1" applyBorder="1" applyAlignment="1">
      <alignment horizontal="center" vertical="center"/>
    </xf>
    <xf numFmtId="0" fontId="2" fillId="0" borderId="1" xfId="0" applyFont="1" applyFill="1" applyBorder="1"/>
    <xf numFmtId="0" fontId="4" fillId="0" borderId="31" xfId="0" applyFont="1" applyFill="1" applyBorder="1" applyAlignment="1">
      <alignment horizontal="center" vertical="center" wrapText="1"/>
    </xf>
    <xf numFmtId="43" fontId="2" fillId="0" borderId="0" xfId="0" applyNumberFormat="1" applyFont="1" applyFill="1" applyBorder="1"/>
    <xf numFmtId="0" fontId="3" fillId="0" borderId="31" xfId="0" applyFont="1" applyFill="1" applyBorder="1" applyAlignment="1">
      <alignment horizontal="center" vertical="center"/>
    </xf>
    <xf numFmtId="0" fontId="3" fillId="0" borderId="31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43" fontId="2" fillId="0" borderId="18" xfId="0" applyNumberFormat="1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3" fillId="0" borderId="21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2" fillId="0" borderId="36" xfId="0" applyFont="1" applyFill="1" applyBorder="1" applyAlignment="1">
      <alignment horizontal="center" vertical="center" wrapText="1"/>
    </xf>
    <xf numFmtId="0" fontId="2" fillId="0" borderId="29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</cellXfs>
  <cellStyles count="2">
    <cellStyle name="Comma 2" xfId="1" xr:uid="{9A4C1375-F399-4054-8BC5-5AD247CD598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ohsin.raza1.SYSTEMS\AppData\Local\Microsoft\Windows\INetCache\Content.Outlook\9PE6HCOF\Tawarruq%20Working%20Sheetv-2.2%2020250116.xlsx" TargetMode="External"/><Relationship Id="rId1" Type="http://schemas.openxmlformats.org/officeDocument/2006/relationships/externalLinkPath" Target="file:///C:\Users\mohsin.raza1.SYSTEMS\AppData\Local\Microsoft\Windows\INetCache\Content.Outlook\9PE6HCOF\Tawarruq%20Working%20Sheetv-2.2%20202501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dctech-my.sharepoint.com/Users/Administrator/AppData/Local/Microsoft/Windows/Temporary%20Internet%20Files/Content.Outlook/T15337AG/WS01-02-BANK_Customer_BPR_Reference_Sheet.V1%20(0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y1 - E2E Accounting Entries"/>
      <sheetName val="Day2 - Simulated Schedule"/>
      <sheetName val="Day4-Cooling Period Cancelation"/>
      <sheetName val="Day4 - Deferment"/>
      <sheetName val="Day4 - Early Settlement"/>
      <sheetName val="Day4 - IRR &amp; Flat Rate"/>
      <sheetName val="Day4 - Product Setup"/>
      <sheetName val="Day4 - Partial Settlement"/>
      <sheetName val="Day4 - Partial Settlement (RT)"/>
      <sheetName val="Day4 - Principal Decrease - Ins"/>
      <sheetName val="Day4 - Principal Dec - Term"/>
      <sheetName val="DayN- APR with Flat Rate"/>
      <sheetName val="DayN - Proposed Acc Entries"/>
      <sheetName val="DayN - LOS - LMS Mapping Field"/>
      <sheetName val="DayN-File Upload"/>
      <sheetName val="DayN-DefermentWith Overdue"/>
      <sheetName val="SA Transact Grace Schedule"/>
      <sheetName val="VAT e-invoice temp"/>
      <sheetName val="513744"/>
      <sheetName val="financing department pending "/>
      <sheetName val="grace period calculation"/>
      <sheetName val="fekher"/>
      <sheetName val="Sheet4"/>
      <sheetName val="Day2 - Simulated Schedule (2)"/>
      <sheetName val="financing department pending 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KPI Dashboard"/>
      <sheetName val="Data Control Sheet"/>
      <sheetName val="Products"/>
      <sheetName val="Processes Details"/>
      <sheetName val="Deliverables Inventory"/>
      <sheetName val="Scoping Gaps"/>
      <sheetName val="Followup Sheet"/>
      <sheetName val="BRD DOC Details"/>
      <sheetName val="KPI Source 1"/>
      <sheetName val="KPI Source 2"/>
      <sheetName val="New Gaps"/>
      <sheetName val="BRD Planning Details"/>
      <sheetName val="FSD Doc Details"/>
      <sheetName val="Resource Attendees"/>
      <sheetName val="Drop Down Fields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3">
          <cell r="B3" t="str">
            <v>MUST Have</v>
          </cell>
        </row>
        <row r="16">
          <cell r="D16" t="str">
            <v>Not Started</v>
          </cell>
        </row>
        <row r="17">
          <cell r="D17" t="str">
            <v>In Progress</v>
          </cell>
        </row>
        <row r="18">
          <cell r="D18" t="str">
            <v>Completed</v>
          </cell>
        </row>
        <row r="19">
          <cell r="D19" t="str">
            <v>Deffered</v>
          </cell>
        </row>
      </sheetData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7D113-3124-42A9-96D9-B7E26CCA5008}">
  <sheetPr>
    <pageSetUpPr autoPageBreaks="0"/>
  </sheetPr>
  <dimension ref="A1:H89"/>
  <sheetViews>
    <sheetView tabSelected="1" topLeftCell="A35" zoomScale="109" workbookViewId="0">
      <selection activeCell="M42" sqref="M42"/>
    </sheetView>
  </sheetViews>
  <sheetFormatPr defaultRowHeight="12.75" x14ac:dyDescent="0.2"/>
  <cols>
    <col min="1" max="1" width="43.140625" style="1" bestFit="1" customWidth="1"/>
    <col min="2" max="2" width="12.85546875" style="107" bestFit="1" customWidth="1"/>
    <col min="3" max="3" width="20.85546875" style="1" bestFit="1" customWidth="1"/>
    <col min="4" max="4" width="38.7109375" style="1" bestFit="1" customWidth="1"/>
    <col min="5" max="5" width="16.140625" style="1" bestFit="1" customWidth="1"/>
    <col min="6" max="6" width="17.28515625" style="1" hidden="1" customWidth="1"/>
    <col min="7" max="7" width="4.85546875" style="1" hidden="1" customWidth="1"/>
    <col min="8" max="8" width="10.5703125" style="1" hidden="1" customWidth="1"/>
    <col min="9" max="9" width="0" style="1" hidden="1" customWidth="1"/>
    <col min="10" max="16384" width="9.140625" style="1"/>
  </cols>
  <sheetData>
    <row r="1" spans="1:8" ht="13.5" thickBot="1" x14ac:dyDescent="0.25"/>
    <row r="2" spans="1:8" s="6" customFormat="1" ht="13.5" thickBot="1" x14ac:dyDescent="0.25">
      <c r="A2" s="2" t="s">
        <v>0</v>
      </c>
      <c r="B2" s="3" t="s">
        <v>1</v>
      </c>
      <c r="C2" s="4" t="s">
        <v>2</v>
      </c>
      <c r="D2" s="4" t="s">
        <v>3</v>
      </c>
      <c r="E2" s="5" t="s">
        <v>80</v>
      </c>
    </row>
    <row r="3" spans="1:8" s="6" customFormat="1" ht="1.5" customHeight="1" thickBot="1" x14ac:dyDescent="0.25">
      <c r="A3" s="2"/>
      <c r="B3" s="94"/>
      <c r="C3" s="95"/>
      <c r="D3" s="95"/>
      <c r="E3" s="96"/>
    </row>
    <row r="4" spans="1:8" x14ac:dyDescent="0.2">
      <c r="A4" s="97" t="s">
        <v>5</v>
      </c>
      <c r="B4" s="7" t="s">
        <v>6</v>
      </c>
      <c r="C4" s="8" t="s">
        <v>7</v>
      </c>
      <c r="D4" s="8" t="s">
        <v>8</v>
      </c>
      <c r="E4" s="9">
        <v>-10000</v>
      </c>
      <c r="F4" s="10" t="s">
        <v>9</v>
      </c>
      <c r="G4" s="11"/>
      <c r="H4" s="12">
        <v>10000</v>
      </c>
    </row>
    <row r="5" spans="1:8" ht="13.5" thickBot="1" x14ac:dyDescent="0.25">
      <c r="A5" s="98"/>
      <c r="B5" s="7" t="s">
        <v>10</v>
      </c>
      <c r="C5" s="8" t="s">
        <v>81</v>
      </c>
      <c r="D5" s="8" t="s">
        <v>8</v>
      </c>
      <c r="E5" s="13">
        <v>10000</v>
      </c>
      <c r="F5" s="14" t="s">
        <v>11</v>
      </c>
      <c r="G5" s="15"/>
      <c r="H5" s="16">
        <f>H4*1%</f>
        <v>100</v>
      </c>
    </row>
    <row r="6" spans="1:8" ht="2.25" customHeight="1" thickBot="1" x14ac:dyDescent="0.25">
      <c r="A6" s="86"/>
      <c r="B6" s="7"/>
      <c r="C6" s="8"/>
      <c r="D6" s="8"/>
      <c r="E6" s="13"/>
      <c r="F6" s="36"/>
      <c r="G6" s="36"/>
      <c r="H6" s="87"/>
    </row>
    <row r="7" spans="1:8" x14ac:dyDescent="0.2">
      <c r="A7" s="17" t="s">
        <v>13</v>
      </c>
      <c r="B7" s="7" t="s">
        <v>6</v>
      </c>
      <c r="C7" s="8" t="s">
        <v>14</v>
      </c>
      <c r="D7" s="8" t="s">
        <v>15</v>
      </c>
      <c r="E7" s="18">
        <v>-10000</v>
      </c>
    </row>
    <row r="8" spans="1:8" ht="13.5" thickBot="1" x14ac:dyDescent="0.25">
      <c r="A8" s="19"/>
      <c r="B8" s="7" t="s">
        <v>10</v>
      </c>
      <c r="C8" s="8" t="s">
        <v>7</v>
      </c>
      <c r="D8" s="8" t="s">
        <v>8</v>
      </c>
      <c r="E8" s="18">
        <v>10000</v>
      </c>
    </row>
    <row r="9" spans="1:8" ht="2.25" customHeight="1" thickBot="1" x14ac:dyDescent="0.25">
      <c r="A9" s="88"/>
      <c r="B9" s="7"/>
      <c r="C9" s="8"/>
      <c r="D9" s="8"/>
      <c r="E9" s="18"/>
    </row>
    <row r="10" spans="1:8" x14ac:dyDescent="0.2">
      <c r="A10" s="20" t="s">
        <v>16</v>
      </c>
      <c r="B10" s="7" t="s">
        <v>6</v>
      </c>
      <c r="C10" s="8" t="s">
        <v>17</v>
      </c>
      <c r="D10" s="8" t="s">
        <v>18</v>
      </c>
      <c r="E10" s="18">
        <v>-10000</v>
      </c>
    </row>
    <row r="11" spans="1:8" x14ac:dyDescent="0.2">
      <c r="A11" s="21"/>
      <c r="B11" s="7" t="s">
        <v>10</v>
      </c>
      <c r="C11" s="8" t="s">
        <v>14</v>
      </c>
      <c r="D11" s="8" t="s">
        <v>15</v>
      </c>
      <c r="E11" s="18">
        <v>10000</v>
      </c>
    </row>
    <row r="12" spans="1:8" x14ac:dyDescent="0.2">
      <c r="A12" s="21"/>
      <c r="B12" s="7" t="s">
        <v>6</v>
      </c>
      <c r="C12" s="8" t="s">
        <v>19</v>
      </c>
      <c r="D12" s="8" t="s">
        <v>20</v>
      </c>
      <c r="E12" s="18">
        <v>-1200</v>
      </c>
    </row>
    <row r="13" spans="1:8" ht="13.5" thickBot="1" x14ac:dyDescent="0.25">
      <c r="A13" s="22"/>
      <c r="B13" s="7" t="s">
        <v>10</v>
      </c>
      <c r="C13" s="8" t="s">
        <v>21</v>
      </c>
      <c r="D13" s="8" t="s">
        <v>22</v>
      </c>
      <c r="E13" s="18">
        <v>1200</v>
      </c>
    </row>
    <row r="14" spans="1:8" ht="2.25" customHeight="1" thickBot="1" x14ac:dyDescent="0.25">
      <c r="A14" s="89"/>
      <c r="B14" s="7"/>
      <c r="C14" s="8"/>
      <c r="D14" s="8"/>
      <c r="E14" s="18"/>
    </row>
    <row r="15" spans="1:8" x14ac:dyDescent="0.2">
      <c r="A15" s="20" t="s">
        <v>40</v>
      </c>
      <c r="B15" s="7" t="s">
        <v>6</v>
      </c>
      <c r="C15" s="8" t="s">
        <v>81</v>
      </c>
      <c r="D15" s="8" t="s">
        <v>8</v>
      </c>
      <c r="E15" s="18">
        <v>-10000</v>
      </c>
    </row>
    <row r="16" spans="1:8" ht="13.5" thickBot="1" x14ac:dyDescent="0.25">
      <c r="A16" s="23"/>
      <c r="B16" s="7" t="s">
        <v>10</v>
      </c>
      <c r="C16" s="15" t="s">
        <v>82</v>
      </c>
      <c r="D16" s="8" t="s">
        <v>8</v>
      </c>
      <c r="E16" s="18">
        <v>10000</v>
      </c>
    </row>
    <row r="17" spans="1:8" ht="2.25" customHeight="1" thickBot="1" x14ac:dyDescent="0.25">
      <c r="A17" s="88"/>
      <c r="B17" s="7"/>
      <c r="C17" s="15"/>
      <c r="D17" s="8"/>
      <c r="E17" s="18"/>
    </row>
    <row r="18" spans="1:8" x14ac:dyDescent="0.2">
      <c r="A18" s="99" t="s">
        <v>23</v>
      </c>
      <c r="B18" s="25" t="s">
        <v>24</v>
      </c>
      <c r="C18" s="26" t="s">
        <v>25</v>
      </c>
      <c r="D18" s="27" t="s">
        <v>26</v>
      </c>
      <c r="E18" s="28">
        <v>-100</v>
      </c>
    </row>
    <row r="19" spans="1:8" x14ac:dyDescent="0.2">
      <c r="A19" s="100"/>
      <c r="B19" s="25" t="s">
        <v>27</v>
      </c>
      <c r="C19" s="26" t="s">
        <v>28</v>
      </c>
      <c r="D19" s="27" t="s">
        <v>29</v>
      </c>
      <c r="E19" s="29">
        <v>100</v>
      </c>
      <c r="F19" s="30"/>
      <c r="G19" s="30"/>
      <c r="H19" s="30"/>
    </row>
    <row r="20" spans="1:8" x14ac:dyDescent="0.2">
      <c r="A20" s="100"/>
      <c r="B20" s="25" t="s">
        <v>24</v>
      </c>
      <c r="C20" s="26" t="s">
        <v>30</v>
      </c>
      <c r="D20" s="27" t="s">
        <v>12</v>
      </c>
      <c r="E20" s="28">
        <v>-15</v>
      </c>
    </row>
    <row r="21" spans="1:8" ht="13.5" thickBot="1" x14ac:dyDescent="0.25">
      <c r="A21" s="101"/>
      <c r="B21" s="25" t="s">
        <v>27</v>
      </c>
      <c r="C21" s="26" t="s">
        <v>31</v>
      </c>
      <c r="D21" s="27" t="s">
        <v>31</v>
      </c>
      <c r="E21" s="28">
        <v>15</v>
      </c>
    </row>
    <row r="22" spans="1:8" ht="2.25" customHeight="1" thickBot="1" x14ac:dyDescent="0.25">
      <c r="A22" s="88"/>
      <c r="B22" s="25"/>
      <c r="C22" s="26"/>
      <c r="D22" s="27"/>
      <c r="E22" s="28"/>
    </row>
    <row r="23" spans="1:8" x14ac:dyDescent="0.2">
      <c r="A23" s="24" t="s">
        <v>32</v>
      </c>
      <c r="B23" s="25" t="s">
        <v>24</v>
      </c>
      <c r="C23" s="26" t="s">
        <v>33</v>
      </c>
      <c r="D23" s="27" t="s">
        <v>34</v>
      </c>
      <c r="E23" s="28">
        <v>50</v>
      </c>
    </row>
    <row r="24" spans="1:8" ht="13.5" thickBot="1" x14ac:dyDescent="0.25">
      <c r="A24" s="23"/>
      <c r="B24" s="25" t="s">
        <v>27</v>
      </c>
      <c r="C24" s="26" t="s">
        <v>35</v>
      </c>
      <c r="D24" s="27" t="s">
        <v>36</v>
      </c>
      <c r="E24" s="28">
        <v>-50</v>
      </c>
    </row>
    <row r="25" spans="1:8" ht="2.25" customHeight="1" thickBot="1" x14ac:dyDescent="0.25">
      <c r="A25" s="88"/>
      <c r="B25" s="25"/>
      <c r="C25" s="26"/>
      <c r="D25" s="27"/>
      <c r="E25" s="28"/>
    </row>
    <row r="26" spans="1:8" x14ac:dyDescent="0.2">
      <c r="A26" s="24" t="s">
        <v>37</v>
      </c>
      <c r="B26" s="7" t="s">
        <v>6</v>
      </c>
      <c r="C26" s="15" t="s">
        <v>82</v>
      </c>
      <c r="D26" s="8" t="s">
        <v>8</v>
      </c>
      <c r="E26" s="28">
        <v>-10000</v>
      </c>
    </row>
    <row r="27" spans="1:8" ht="13.5" thickBot="1" x14ac:dyDescent="0.25">
      <c r="A27" s="23"/>
      <c r="B27" s="25" t="s">
        <v>10</v>
      </c>
      <c r="C27" s="26" t="s">
        <v>38</v>
      </c>
      <c r="D27" s="27" t="s">
        <v>39</v>
      </c>
      <c r="E27" s="28">
        <v>10000</v>
      </c>
    </row>
    <row r="28" spans="1:8" ht="2.25" customHeight="1" thickBot="1" x14ac:dyDescent="0.25">
      <c r="A28" s="88"/>
      <c r="B28" s="25"/>
      <c r="C28" s="26"/>
      <c r="D28" s="27"/>
      <c r="E28" s="28"/>
    </row>
    <row r="29" spans="1:8" x14ac:dyDescent="0.2">
      <c r="A29" s="99" t="s">
        <v>41</v>
      </c>
      <c r="B29" s="25" t="s">
        <v>24</v>
      </c>
      <c r="C29" s="26" t="s">
        <v>38</v>
      </c>
      <c r="D29" s="27" t="s">
        <v>39</v>
      </c>
      <c r="E29" s="29">
        <v>-100</v>
      </c>
    </row>
    <row r="30" spans="1:8" x14ac:dyDescent="0.2">
      <c r="A30" s="100"/>
      <c r="B30" s="25" t="s">
        <v>27</v>
      </c>
      <c r="C30" s="26" t="s">
        <v>25</v>
      </c>
      <c r="D30" s="27" t="s">
        <v>26</v>
      </c>
      <c r="E30" s="29">
        <v>100</v>
      </c>
    </row>
    <row r="31" spans="1:8" x14ac:dyDescent="0.2">
      <c r="A31" s="100"/>
      <c r="B31" s="25" t="s">
        <v>24</v>
      </c>
      <c r="C31" s="26" t="s">
        <v>38</v>
      </c>
      <c r="D31" s="27" t="s">
        <v>39</v>
      </c>
      <c r="E31" s="29">
        <v>-15</v>
      </c>
    </row>
    <row r="32" spans="1:8" ht="13.5" thickBot="1" x14ac:dyDescent="0.25">
      <c r="A32" s="101"/>
      <c r="B32" s="25" t="s">
        <v>27</v>
      </c>
      <c r="C32" s="26" t="s">
        <v>30</v>
      </c>
      <c r="D32" s="27" t="s">
        <v>12</v>
      </c>
      <c r="E32" s="29">
        <v>15</v>
      </c>
    </row>
    <row r="33" spans="1:5" ht="2.25" customHeight="1" thickBot="1" x14ac:dyDescent="0.25">
      <c r="A33" s="88"/>
      <c r="B33" s="25"/>
      <c r="C33" s="26"/>
      <c r="D33" s="27"/>
      <c r="E33" s="29"/>
    </row>
    <row r="34" spans="1:5" x14ac:dyDescent="0.2">
      <c r="A34" s="31" t="s">
        <v>42</v>
      </c>
      <c r="B34" s="25" t="s">
        <v>24</v>
      </c>
      <c r="C34" s="26" t="s">
        <v>38</v>
      </c>
      <c r="D34" s="27" t="s">
        <v>39</v>
      </c>
      <c r="E34" s="28">
        <v>9885</v>
      </c>
    </row>
    <row r="35" spans="1:5" ht="13.5" thickBot="1" x14ac:dyDescent="0.25">
      <c r="A35" s="32"/>
      <c r="B35" s="33" t="s">
        <v>27</v>
      </c>
      <c r="C35" s="26" t="s">
        <v>83</v>
      </c>
      <c r="D35" s="35" t="s">
        <v>43</v>
      </c>
      <c r="E35" s="29">
        <v>-9885</v>
      </c>
    </row>
    <row r="36" spans="1:5" ht="2.25" customHeight="1" thickBot="1" x14ac:dyDescent="0.25">
      <c r="A36" s="102"/>
      <c r="B36" s="33"/>
      <c r="C36" s="34"/>
      <c r="D36" s="35"/>
      <c r="E36" s="29"/>
    </row>
    <row r="37" spans="1:5" x14ac:dyDescent="0.2">
      <c r="A37" s="103" t="s">
        <v>44</v>
      </c>
      <c r="B37" s="105" t="s">
        <v>6</v>
      </c>
      <c r="C37" s="39" t="s">
        <v>21</v>
      </c>
      <c r="D37" s="39" t="s">
        <v>45</v>
      </c>
      <c r="E37" s="40">
        <f>-E13/365</f>
        <v>-3.2876712328767121</v>
      </c>
    </row>
    <row r="38" spans="1:5" ht="13.5" thickBot="1" x14ac:dyDescent="0.25">
      <c r="A38" s="104"/>
      <c r="B38" s="106" t="s">
        <v>10</v>
      </c>
      <c r="C38" s="41" t="s">
        <v>46</v>
      </c>
      <c r="D38" s="41" t="s">
        <v>47</v>
      </c>
      <c r="E38" s="42">
        <f>-E37</f>
        <v>3.2876712328767121</v>
      </c>
    </row>
    <row r="39" spans="1:5" ht="2.25" customHeight="1" thickBot="1" x14ac:dyDescent="0.25">
      <c r="A39" s="90"/>
      <c r="B39" s="48"/>
      <c r="C39" s="50"/>
      <c r="D39" s="50"/>
      <c r="E39" s="91"/>
    </row>
    <row r="40" spans="1:5" x14ac:dyDescent="0.2">
      <c r="A40" s="43" t="s">
        <v>48</v>
      </c>
      <c r="B40" s="108" t="s">
        <v>6</v>
      </c>
      <c r="C40" s="11" t="s">
        <v>28</v>
      </c>
      <c r="D40" s="11" t="s">
        <v>49</v>
      </c>
      <c r="E40" s="12">
        <f>E18/365</f>
        <v>-0.27397260273972601</v>
      </c>
    </row>
    <row r="41" spans="1:5" ht="13.5" thickBot="1" x14ac:dyDescent="0.25">
      <c r="A41" s="44"/>
      <c r="B41" s="109" t="s">
        <v>10</v>
      </c>
      <c r="C41" s="45" t="s">
        <v>46</v>
      </c>
      <c r="D41" s="45" t="s">
        <v>47</v>
      </c>
      <c r="E41" s="46">
        <f>-E40</f>
        <v>0.27397260273972601</v>
      </c>
    </row>
    <row r="42" spans="1:5" ht="2.25" customHeight="1" thickBot="1" x14ac:dyDescent="0.25">
      <c r="A42" s="47"/>
      <c r="B42" s="48"/>
      <c r="C42" s="49"/>
      <c r="D42" s="50"/>
      <c r="E42" s="51"/>
    </row>
    <row r="43" spans="1:5" x14ac:dyDescent="0.2">
      <c r="A43" s="52" t="s">
        <v>50</v>
      </c>
      <c r="B43" s="53" t="s">
        <v>6</v>
      </c>
      <c r="C43" s="11" t="s">
        <v>51</v>
      </c>
      <c r="D43" s="11" t="s">
        <v>52</v>
      </c>
      <c r="E43" s="54" t="s">
        <v>53</v>
      </c>
    </row>
    <row r="44" spans="1:5" x14ac:dyDescent="0.2">
      <c r="A44" s="55"/>
      <c r="B44" s="56" t="s">
        <v>10</v>
      </c>
      <c r="C44" s="15" t="s">
        <v>17</v>
      </c>
      <c r="D44" s="15" t="s">
        <v>54</v>
      </c>
      <c r="E44" s="57" t="s">
        <v>53</v>
      </c>
    </row>
    <row r="45" spans="1:5" x14ac:dyDescent="0.2">
      <c r="A45" s="55"/>
      <c r="B45" s="56" t="s">
        <v>6</v>
      </c>
      <c r="C45" s="15" t="s">
        <v>55</v>
      </c>
      <c r="D45" s="15" t="s">
        <v>56</v>
      </c>
      <c r="E45" s="57" t="s">
        <v>53</v>
      </c>
    </row>
    <row r="46" spans="1:5" ht="13.5" thickBot="1" x14ac:dyDescent="0.25">
      <c r="A46" s="58"/>
      <c r="B46" s="59" t="s">
        <v>10</v>
      </c>
      <c r="C46" s="45" t="s">
        <v>19</v>
      </c>
      <c r="D46" s="45" t="s">
        <v>20</v>
      </c>
      <c r="E46" s="60" t="s">
        <v>53</v>
      </c>
    </row>
    <row r="47" spans="1:5" ht="2.25" customHeight="1" thickBot="1" x14ac:dyDescent="0.25">
      <c r="A47" s="47"/>
      <c r="B47" s="48"/>
      <c r="C47" s="85"/>
      <c r="D47" s="85"/>
      <c r="E47" s="51"/>
    </row>
    <row r="48" spans="1:5" x14ac:dyDescent="0.2">
      <c r="A48" s="52" t="s">
        <v>57</v>
      </c>
      <c r="B48" s="53" t="s">
        <v>6</v>
      </c>
      <c r="C48" s="61" t="s">
        <v>58</v>
      </c>
      <c r="D48" s="61" t="s">
        <v>39</v>
      </c>
      <c r="E48" s="62" t="s">
        <v>53</v>
      </c>
    </row>
    <row r="49" spans="1:5" x14ac:dyDescent="0.2">
      <c r="A49" s="55"/>
      <c r="B49" s="56" t="s">
        <v>10</v>
      </c>
      <c r="C49" s="63" t="s">
        <v>59</v>
      </c>
      <c r="D49" s="61" t="s">
        <v>60</v>
      </c>
      <c r="E49" s="64" t="s">
        <v>53</v>
      </c>
    </row>
    <row r="50" spans="1:5" ht="13.5" thickBot="1" x14ac:dyDescent="0.25">
      <c r="A50" s="58"/>
      <c r="B50" s="59" t="s">
        <v>10</v>
      </c>
      <c r="C50" s="45" t="s">
        <v>55</v>
      </c>
      <c r="D50" s="65" t="s">
        <v>61</v>
      </c>
      <c r="E50" s="66" t="s">
        <v>53</v>
      </c>
    </row>
    <row r="51" spans="1:5" ht="2.25" customHeight="1" thickBot="1" x14ac:dyDescent="0.25">
      <c r="A51" s="47"/>
      <c r="B51" s="48"/>
      <c r="C51" s="49"/>
      <c r="D51" s="92"/>
      <c r="E51" s="93"/>
    </row>
    <row r="52" spans="1:5" x14ac:dyDescent="0.2">
      <c r="A52" s="43" t="s">
        <v>62</v>
      </c>
      <c r="B52" s="53" t="s">
        <v>6</v>
      </c>
      <c r="C52" s="67" t="s">
        <v>38</v>
      </c>
      <c r="D52" s="67" t="s">
        <v>63</v>
      </c>
      <c r="E52" s="62" t="s">
        <v>53</v>
      </c>
    </row>
    <row r="53" spans="1:5" x14ac:dyDescent="0.2">
      <c r="A53" s="68"/>
      <c r="B53" s="56" t="s">
        <v>10</v>
      </c>
      <c r="C53" s="8" t="s">
        <v>17</v>
      </c>
      <c r="D53" s="8" t="s">
        <v>63</v>
      </c>
      <c r="E53" s="64" t="s">
        <v>53</v>
      </c>
    </row>
    <row r="54" spans="1:5" x14ac:dyDescent="0.2">
      <c r="A54" s="68"/>
      <c r="B54" s="56" t="s">
        <v>6</v>
      </c>
      <c r="C54" s="8" t="s">
        <v>38</v>
      </c>
      <c r="D54" s="8" t="s">
        <v>64</v>
      </c>
      <c r="E54" s="57" t="s">
        <v>53</v>
      </c>
    </row>
    <row r="55" spans="1:5" x14ac:dyDescent="0.2">
      <c r="A55" s="68"/>
      <c r="B55" s="56" t="s">
        <v>10</v>
      </c>
      <c r="C55" s="8" t="s">
        <v>19</v>
      </c>
      <c r="D55" s="8" t="s">
        <v>64</v>
      </c>
      <c r="E55" s="57" t="s">
        <v>53</v>
      </c>
    </row>
    <row r="56" spans="1:5" x14ac:dyDescent="0.2">
      <c r="A56" s="68"/>
      <c r="B56" s="56" t="s">
        <v>6</v>
      </c>
      <c r="C56" s="8" t="s">
        <v>21</v>
      </c>
      <c r="D56" s="8" t="s">
        <v>65</v>
      </c>
      <c r="E56" s="57" t="s">
        <v>53</v>
      </c>
    </row>
    <row r="57" spans="1:5" x14ac:dyDescent="0.2">
      <c r="A57" s="68"/>
      <c r="B57" s="56" t="s">
        <v>10</v>
      </c>
      <c r="C57" s="8" t="s">
        <v>46</v>
      </c>
      <c r="D57" s="8" t="s">
        <v>65</v>
      </c>
      <c r="E57" s="57" t="s">
        <v>53</v>
      </c>
    </row>
    <row r="58" spans="1:5" x14ac:dyDescent="0.2">
      <c r="A58" s="68"/>
      <c r="B58" s="56" t="s">
        <v>6</v>
      </c>
      <c r="C58" s="8" t="s">
        <v>46</v>
      </c>
      <c r="D58" s="8" t="s">
        <v>66</v>
      </c>
      <c r="E58" s="57" t="s">
        <v>53</v>
      </c>
    </row>
    <row r="59" spans="1:5" ht="13.5" thickBot="1" x14ac:dyDescent="0.25">
      <c r="A59" s="44"/>
      <c r="B59" s="59" t="s">
        <v>10</v>
      </c>
      <c r="C59" s="69" t="s">
        <v>38</v>
      </c>
      <c r="D59" s="69" t="s">
        <v>66</v>
      </c>
      <c r="E59" s="60" t="s">
        <v>53</v>
      </c>
    </row>
    <row r="62" spans="1:5" ht="13.5" thickBot="1" x14ac:dyDescent="0.25">
      <c r="A62" s="6" t="s">
        <v>67</v>
      </c>
    </row>
    <row r="63" spans="1:5" ht="13.5" thickBot="1" x14ac:dyDescent="0.25">
      <c r="A63" s="70" t="s">
        <v>0</v>
      </c>
      <c r="B63" s="71" t="s">
        <v>1</v>
      </c>
      <c r="C63" s="71" t="s">
        <v>2</v>
      </c>
      <c r="D63" s="71" t="s">
        <v>3</v>
      </c>
      <c r="E63" s="71" t="s">
        <v>4</v>
      </c>
    </row>
    <row r="64" spans="1:5" x14ac:dyDescent="0.2">
      <c r="A64" s="72" t="s">
        <v>68</v>
      </c>
      <c r="B64" s="53" t="s">
        <v>6</v>
      </c>
      <c r="C64" s="67" t="s">
        <v>46</v>
      </c>
      <c r="D64" s="73" t="s">
        <v>69</v>
      </c>
      <c r="E64" s="74" t="s">
        <v>53</v>
      </c>
    </row>
    <row r="65" spans="1:5" x14ac:dyDescent="0.2">
      <c r="A65" s="75"/>
      <c r="B65" s="56" t="s">
        <v>10</v>
      </c>
      <c r="C65" s="39" t="s">
        <v>70</v>
      </c>
      <c r="D65" s="76" t="s">
        <v>39</v>
      </c>
      <c r="E65" s="77" t="s">
        <v>53</v>
      </c>
    </row>
    <row r="66" spans="1:5" x14ac:dyDescent="0.2">
      <c r="A66" s="75"/>
      <c r="B66" s="38" t="s">
        <v>6</v>
      </c>
      <c r="C66" s="39" t="s">
        <v>31</v>
      </c>
      <c r="D66" s="76" t="s">
        <v>31</v>
      </c>
      <c r="E66" s="78" t="s">
        <v>53</v>
      </c>
    </row>
    <row r="67" spans="1:5" ht="13.5" thickBot="1" x14ac:dyDescent="0.25">
      <c r="A67" s="79"/>
      <c r="B67" s="59" t="s">
        <v>10</v>
      </c>
      <c r="C67" s="80" t="s">
        <v>70</v>
      </c>
      <c r="D67" s="81" t="s">
        <v>39</v>
      </c>
      <c r="E67" s="82" t="s">
        <v>53</v>
      </c>
    </row>
    <row r="68" spans="1:5" x14ac:dyDescent="0.2">
      <c r="A68" s="72" t="s">
        <v>71</v>
      </c>
      <c r="B68" s="53" t="s">
        <v>6</v>
      </c>
      <c r="C68" s="67" t="s">
        <v>46</v>
      </c>
      <c r="D68" s="11" t="s">
        <v>47</v>
      </c>
      <c r="E68" s="74" t="s">
        <v>53</v>
      </c>
    </row>
    <row r="69" spans="1:5" x14ac:dyDescent="0.2">
      <c r="A69" s="75"/>
      <c r="B69" s="56" t="s">
        <v>10</v>
      </c>
      <c r="C69" s="8" t="s">
        <v>21</v>
      </c>
      <c r="D69" s="8" t="s">
        <v>72</v>
      </c>
      <c r="E69" s="77" t="s">
        <v>53</v>
      </c>
    </row>
    <row r="70" spans="1:5" x14ac:dyDescent="0.2">
      <c r="A70" s="75"/>
      <c r="B70" s="56" t="s">
        <v>6</v>
      </c>
      <c r="C70" s="8" t="s">
        <v>21</v>
      </c>
      <c r="D70" s="8" t="s">
        <v>72</v>
      </c>
      <c r="E70" s="77" t="s">
        <v>53</v>
      </c>
    </row>
    <row r="71" spans="1:5" ht="13.5" thickBot="1" x14ac:dyDescent="0.25">
      <c r="A71" s="79"/>
      <c r="B71" s="59" t="s">
        <v>10</v>
      </c>
      <c r="C71" s="45" t="s">
        <v>19</v>
      </c>
      <c r="D71" s="45" t="s">
        <v>20</v>
      </c>
      <c r="E71" s="82" t="s">
        <v>53</v>
      </c>
    </row>
    <row r="72" spans="1:5" x14ac:dyDescent="0.2">
      <c r="A72" s="72" t="s">
        <v>73</v>
      </c>
      <c r="B72" s="53" t="s">
        <v>6</v>
      </c>
      <c r="C72" s="67" t="s">
        <v>70</v>
      </c>
      <c r="D72" s="73" t="s">
        <v>39</v>
      </c>
      <c r="E72" s="74" t="s">
        <v>53</v>
      </c>
    </row>
    <row r="73" spans="1:5" ht="13.5" thickBot="1" x14ac:dyDescent="0.25">
      <c r="A73" s="79"/>
      <c r="B73" s="59" t="s">
        <v>10</v>
      </c>
      <c r="C73" s="83" t="s">
        <v>17</v>
      </c>
      <c r="D73" s="69" t="s">
        <v>63</v>
      </c>
      <c r="E73" s="82" t="s">
        <v>53</v>
      </c>
    </row>
    <row r="74" spans="1:5" ht="13.5" thickBot="1" x14ac:dyDescent="0.25"/>
    <row r="75" spans="1:5" ht="13.5" thickBot="1" x14ac:dyDescent="0.25">
      <c r="A75" s="70" t="s">
        <v>0</v>
      </c>
      <c r="B75" s="71" t="s">
        <v>1</v>
      </c>
      <c r="C75" s="71" t="s">
        <v>2</v>
      </c>
      <c r="D75" s="71" t="s">
        <v>3</v>
      </c>
      <c r="E75" s="71" t="s">
        <v>4</v>
      </c>
    </row>
    <row r="76" spans="1:5" x14ac:dyDescent="0.2">
      <c r="A76" s="37" t="s">
        <v>74</v>
      </c>
      <c r="B76" s="38" t="s">
        <v>6</v>
      </c>
      <c r="C76" s="8" t="s">
        <v>75</v>
      </c>
      <c r="D76" s="76" t="s">
        <v>76</v>
      </c>
      <c r="E76" s="78" t="s">
        <v>53</v>
      </c>
    </row>
    <row r="77" spans="1:5" x14ac:dyDescent="0.2">
      <c r="A77" s="68"/>
      <c r="B77" s="56" t="s">
        <v>10</v>
      </c>
      <c r="C77" s="8" t="s">
        <v>46</v>
      </c>
      <c r="D77" s="15" t="s">
        <v>47</v>
      </c>
      <c r="E77" s="77" t="s">
        <v>53</v>
      </c>
    </row>
    <row r="78" spans="1:5" x14ac:dyDescent="0.2">
      <c r="A78" s="68"/>
      <c r="B78" s="56" t="s">
        <v>6</v>
      </c>
      <c r="C78" s="8" t="s">
        <v>70</v>
      </c>
      <c r="D78" s="63" t="s">
        <v>39</v>
      </c>
      <c r="E78" s="77" t="s">
        <v>53</v>
      </c>
    </row>
    <row r="79" spans="1:5" x14ac:dyDescent="0.2">
      <c r="A79" s="68"/>
      <c r="B79" s="56" t="s">
        <v>10</v>
      </c>
      <c r="C79" s="63" t="s">
        <v>59</v>
      </c>
      <c r="D79" s="8" t="s">
        <v>63</v>
      </c>
      <c r="E79" s="77" t="s">
        <v>53</v>
      </c>
    </row>
    <row r="80" spans="1:5" x14ac:dyDescent="0.2">
      <c r="A80" s="68"/>
      <c r="B80" s="56" t="s">
        <v>6</v>
      </c>
      <c r="C80" s="8" t="s">
        <v>70</v>
      </c>
      <c r="D80" s="63" t="s">
        <v>39</v>
      </c>
      <c r="E80" s="77" t="s">
        <v>53</v>
      </c>
    </row>
    <row r="81" spans="1:5" x14ac:dyDescent="0.2">
      <c r="A81" s="68"/>
      <c r="B81" s="56" t="s">
        <v>10</v>
      </c>
      <c r="C81" s="8" t="s">
        <v>75</v>
      </c>
      <c r="D81" s="63" t="s">
        <v>76</v>
      </c>
      <c r="E81" s="77" t="s">
        <v>53</v>
      </c>
    </row>
    <row r="82" spans="1:5" x14ac:dyDescent="0.2">
      <c r="A82" s="68"/>
      <c r="B82" s="56" t="s">
        <v>6</v>
      </c>
      <c r="C82" s="8" t="s">
        <v>70</v>
      </c>
      <c r="D82" s="63" t="s">
        <v>39</v>
      </c>
      <c r="E82" s="77" t="s">
        <v>53</v>
      </c>
    </row>
    <row r="83" spans="1:5" x14ac:dyDescent="0.2">
      <c r="A83" s="68"/>
      <c r="B83" s="56" t="s">
        <v>10</v>
      </c>
      <c r="C83" s="15" t="s">
        <v>19</v>
      </c>
      <c r="D83" s="15" t="s">
        <v>20</v>
      </c>
      <c r="E83" s="77" t="s">
        <v>53</v>
      </c>
    </row>
    <row r="84" spans="1:5" x14ac:dyDescent="0.2">
      <c r="A84" s="68"/>
      <c r="B84" s="56" t="s">
        <v>6</v>
      </c>
      <c r="C84" s="8" t="s">
        <v>21</v>
      </c>
      <c r="D84" s="8" t="s">
        <v>72</v>
      </c>
      <c r="E84" s="77" t="s">
        <v>53</v>
      </c>
    </row>
    <row r="85" spans="1:5" x14ac:dyDescent="0.2">
      <c r="A85" s="68"/>
      <c r="B85" s="56" t="s">
        <v>10</v>
      </c>
      <c r="C85" s="8" t="s">
        <v>46</v>
      </c>
      <c r="D85" s="15" t="s">
        <v>47</v>
      </c>
      <c r="E85" s="77" t="s">
        <v>53</v>
      </c>
    </row>
    <row r="86" spans="1:5" x14ac:dyDescent="0.2">
      <c r="A86" s="68"/>
      <c r="B86" s="84" t="s">
        <v>6</v>
      </c>
      <c r="C86" s="27" t="s">
        <v>77</v>
      </c>
      <c r="D86" s="27" t="s">
        <v>47</v>
      </c>
      <c r="E86" s="77" t="s">
        <v>53</v>
      </c>
    </row>
    <row r="87" spans="1:5" x14ac:dyDescent="0.2">
      <c r="A87" s="68"/>
      <c r="B87" s="84" t="s">
        <v>10</v>
      </c>
      <c r="C87" s="27" t="s">
        <v>78</v>
      </c>
      <c r="D87" s="27" t="s">
        <v>79</v>
      </c>
      <c r="E87" s="77" t="s">
        <v>53</v>
      </c>
    </row>
    <row r="88" spans="1:5" x14ac:dyDescent="0.2">
      <c r="A88" s="68"/>
      <c r="B88" s="84" t="s">
        <v>6</v>
      </c>
      <c r="C88" s="27" t="s">
        <v>78</v>
      </c>
      <c r="D88" s="27" t="s">
        <v>79</v>
      </c>
      <c r="E88" s="77" t="s">
        <v>53</v>
      </c>
    </row>
    <row r="89" spans="1:5" ht="13.5" thickBot="1" x14ac:dyDescent="0.25">
      <c r="A89" s="44"/>
      <c r="B89" s="59" t="s">
        <v>10</v>
      </c>
      <c r="C89" s="69" t="s">
        <v>70</v>
      </c>
      <c r="D89" s="83" t="s">
        <v>39</v>
      </c>
      <c r="E89" s="82" t="s">
        <v>53</v>
      </c>
    </row>
  </sheetData>
  <mergeCells count="18">
    <mergeCell ref="A15:A16"/>
    <mergeCell ref="A48:A50"/>
    <mergeCell ref="A52:A59"/>
    <mergeCell ref="A64:A67"/>
    <mergeCell ref="A68:A71"/>
    <mergeCell ref="A72:A73"/>
    <mergeCell ref="A76:A89"/>
    <mergeCell ref="A37:A38"/>
    <mergeCell ref="A40:A41"/>
    <mergeCell ref="A43:A46"/>
    <mergeCell ref="A23:A24"/>
    <mergeCell ref="A26:A27"/>
    <mergeCell ref="A29:A32"/>
    <mergeCell ref="A34:A35"/>
    <mergeCell ref="A4:A5"/>
    <mergeCell ref="A7:A8"/>
    <mergeCell ref="A10:A13"/>
    <mergeCell ref="A18:A21"/>
  </mergeCells>
  <pageMargins left="0.7" right="0.7" top="0.75" bottom="0.75" header="0.3" footer="0.3"/>
  <pageSetup paperSize="9" orientation="portrait" r:id="rId1"/>
  <headerFooter>
    <oddFooter>&amp;L&amp;"Calibri Light,Regular"&amp;09&amp;K00C000Public</oddFooter>
    <evenFooter>&amp;L&amp;"Calibri Light,Regular"&amp;09&amp;K00C000Public</evenFooter>
    <firstFooter>&amp;L&amp;"Calibri Light,Regular"&amp;09&amp;K00C000Public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TWQ Accounting Entries - Disb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Mohsin Raza</dc:creator>
  <cp:lastModifiedBy>Mohsin Raza</cp:lastModifiedBy>
  <dcterms:created xsi:type="dcterms:W3CDTF">2026-01-17T17:26:56Z</dcterms:created>
  <dcterms:modified xsi:type="dcterms:W3CDTF">2026-01-17T17:56:20Z</dcterms:modified>
</cp:coreProperties>
</file>