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illigencepvtltd-my.sharepoint.com/personal/venkateshwaran_t_xilligence_com/Documents/Documents/TamWeel/Servicing Module UTs/"/>
    </mc:Choice>
  </mc:AlternateContent>
  <xr:revisionPtr revIDLastSave="3" documentId="13_ncr:9_{DE8BDEA7-1865-4707-9DDA-B9F427595362}" xr6:coauthVersionLast="47" xr6:coauthVersionMax="47" xr10:uidLastSave="{9D12256B-BF2A-4D44-8FB6-9CF0B37FA447}"/>
  <bookViews>
    <workbookView xWindow="-120" yWindow="-120" windowWidth="20730" windowHeight="11040" xr2:uid="{8B6E4FDE-5DEA-42AB-9EB6-F6FAA55C504F}"/>
  </bookViews>
  <sheets>
    <sheet name="Payment-Schedule_200526153820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B6" i="1"/>
  <c r="H36" i="1"/>
  <c r="G10" i="1"/>
  <c r="G14" i="1"/>
  <c r="G18" i="1"/>
  <c r="G22" i="1"/>
  <c r="G26" i="1"/>
  <c r="G30" i="1"/>
  <c r="G34" i="1"/>
  <c r="B7" i="1"/>
  <c r="G7" i="1" s="1"/>
  <c r="B8" i="1"/>
  <c r="G8" i="1" s="1"/>
  <c r="B9" i="1"/>
  <c r="G9" i="1" s="1"/>
  <c r="B10" i="1"/>
  <c r="B11" i="1"/>
  <c r="G11" i="1" s="1"/>
  <c r="B12" i="1"/>
  <c r="G12" i="1" s="1"/>
  <c r="B13" i="1"/>
  <c r="G13" i="1" s="1"/>
  <c r="B14" i="1"/>
  <c r="B15" i="1"/>
  <c r="G15" i="1" s="1"/>
  <c r="B16" i="1"/>
  <c r="G16" i="1" s="1"/>
  <c r="B17" i="1"/>
  <c r="G17" i="1" s="1"/>
  <c r="B18" i="1"/>
  <c r="B19" i="1"/>
  <c r="G19" i="1" s="1"/>
  <c r="B20" i="1"/>
  <c r="G20" i="1" s="1"/>
  <c r="B21" i="1"/>
  <c r="G21" i="1" s="1"/>
  <c r="B22" i="1"/>
  <c r="B23" i="1"/>
  <c r="G23" i="1" s="1"/>
  <c r="B24" i="1"/>
  <c r="G24" i="1" s="1"/>
  <c r="B25" i="1"/>
  <c r="G25" i="1" s="1"/>
  <c r="B26" i="1"/>
  <c r="B27" i="1"/>
  <c r="G27" i="1" s="1"/>
  <c r="B28" i="1"/>
  <c r="G28" i="1" s="1"/>
  <c r="B29" i="1"/>
  <c r="G29" i="1" s="1"/>
  <c r="B30" i="1"/>
  <c r="B31" i="1"/>
  <c r="G31" i="1" s="1"/>
  <c r="B32" i="1"/>
  <c r="G32" i="1" s="1"/>
  <c r="B33" i="1"/>
  <c r="G33" i="1" s="1"/>
  <c r="B34" i="1"/>
  <c r="B35" i="1"/>
  <c r="G35" i="1" s="1"/>
  <c r="G36" i="1" l="1"/>
</calcChain>
</file>

<file path=xl/sharedStrings.xml><?xml version="1.0" encoding="utf-8"?>
<sst xmlns="http://schemas.openxmlformats.org/spreadsheetml/2006/main" count="77" uniqueCount="77">
  <si>
    <t>Payment Schedule</t>
  </si>
  <si>
    <t>Generated Date: 20-MAY-2026 15:38:20</t>
  </si>
  <si>
    <t>Date</t>
  </si>
  <si>
    <t>Total Due</t>
  </si>
  <si>
    <t>Total Cap</t>
  </si>
  <si>
    <t>Principal</t>
  </si>
  <si>
    <t>Principal Profit</t>
  </si>
  <si>
    <t>REC Profit</t>
  </si>
  <si>
    <t>Charge</t>
  </si>
  <si>
    <t>Tax</t>
  </si>
  <si>
    <t>Total Pymt</t>
  </si>
  <si>
    <t>Outstanding</t>
  </si>
  <si>
    <t>O/S Principal + Profit</t>
  </si>
  <si>
    <t>'-30,000.00'</t>
  </si>
  <si>
    <t>'-37,438.36'</t>
  </si>
  <si>
    <t>'-29,153.99'</t>
  </si>
  <si>
    <t>'-36,190.41'</t>
  </si>
  <si>
    <t>'-28,311.11'</t>
  </si>
  <si>
    <t>'-34,942.46'</t>
  </si>
  <si>
    <t>'-27,498.67'</t>
  </si>
  <si>
    <t>'-33,694.51'</t>
  </si>
  <si>
    <t>'-26,660.08'</t>
  </si>
  <si>
    <t>'-32,446.56'</t>
  </si>
  <si>
    <t>'-25,822.24'</t>
  </si>
  <si>
    <t>'-31,198.61'</t>
  </si>
  <si>
    <t>'-24,958.70'</t>
  </si>
  <si>
    <t>'-29,950.66'</t>
  </si>
  <si>
    <t>'-24,094.69'</t>
  </si>
  <si>
    <t>'-28,702.71'</t>
  </si>
  <si>
    <t>'-23,217.39'</t>
  </si>
  <si>
    <t>'-27,454.76'</t>
  </si>
  <si>
    <t>'-22,315.07'</t>
  </si>
  <si>
    <t>'-26,206.81'</t>
  </si>
  <si>
    <t>'-21,410.39'</t>
  </si>
  <si>
    <t>'-24,958.86'</t>
  </si>
  <si>
    <t>'-20,481.17'</t>
  </si>
  <si>
    <t>'-23,710.91'</t>
  </si>
  <si>
    <t>'-19,548.28'</t>
  </si>
  <si>
    <t>'-22,462.96'</t>
  </si>
  <si>
    <t>'-18,601.04'</t>
  </si>
  <si>
    <t>'-21,215.01'</t>
  </si>
  <si>
    <t>'-17,611.54'</t>
  </si>
  <si>
    <t>'-19,967.06'</t>
  </si>
  <si>
    <t>'-16,634.51'</t>
  </si>
  <si>
    <t>'-18,719.11'</t>
  </si>
  <si>
    <t>'-15,634.19'</t>
  </si>
  <si>
    <t>'-17,471.16'</t>
  </si>
  <si>
    <t>'-14,626.74'</t>
  </si>
  <si>
    <t>'-16,223.21'</t>
  </si>
  <si>
    <t>'-13,596.53'</t>
  </si>
  <si>
    <t>'-14,975.26'</t>
  </si>
  <si>
    <t>'-12,557.73'</t>
  </si>
  <si>
    <t>'-13,727.31'</t>
  </si>
  <si>
    <t>'-11,502.95'</t>
  </si>
  <si>
    <t>'-12,479.36'</t>
  </si>
  <si>
    <t>'-10,426.24'</t>
  </si>
  <si>
    <t>'-11,231.41'</t>
  </si>
  <si>
    <t>'-9,338.68'</t>
  </si>
  <si>
    <t>'-9,983.46'</t>
  </si>
  <si>
    <t>'-8,229.75'</t>
  </si>
  <si>
    <t>'-8,735.51'</t>
  </si>
  <si>
    <t>'-7,108.40'</t>
  </si>
  <si>
    <t>'-7,487.56'</t>
  </si>
  <si>
    <t>'-5,969.80'</t>
  </si>
  <si>
    <t>'-6,239.61'</t>
  </si>
  <si>
    <t>'-4,807.76'</t>
  </si>
  <si>
    <t>'-4,991.66'</t>
  </si>
  <si>
    <t>'-3,633.77'</t>
  </si>
  <si>
    <t>'-3,743.71'</t>
  </si>
  <si>
    <t>'-2,439.91'</t>
  </si>
  <si>
    <t>'-2,495.76'</t>
  </si>
  <si>
    <t>'-1,229.49'</t>
  </si>
  <si>
    <t>'-1,247.81'</t>
  </si>
  <si>
    <t>Profit Rate</t>
  </si>
  <si>
    <t>Days</t>
  </si>
  <si>
    <t>Recal-profit</t>
  </si>
  <si>
    <t>Remaining Prin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</si>
</sst>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10" xfId="0" applyBorder="1"/>
    <xf numFmtId="0" fontId="0" fillId="33" borderId="10" xfId="0" applyFill="1" applyBorder="1"/>
    <xf numFmtId="15" fontId="0" fillId="0" borderId="10" xfId="0" applyNumberFormat="1" applyBorder="1"/>
    <xf numFmtId="15" fontId="0" fillId="33" borderId="10" xfId="0" applyNumberFormat="1" applyFill="1" applyBorder="1"/>
    <xf numFmtId="4" fontId="0" fillId="0" borderId="10" xfId="0" applyNumberFormat="1" applyBorder="1"/>
    <xf numFmtId="4" fontId="0" fillId="33" borderId="10" xfId="0" applyNumberFormat="1" applyFill="1" applyBorder="1"/>
    <xf numFmtId="1" fontId="0" fillId="33" borderId="10" xfId="0" applyNumberFormat="1" applyFill="1" applyBorder="1"/>
    <xf numFmtId="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8</xdr:row>
      <xdr:rowOff>0</xdr:rowOff>
    </xdr:from>
    <xdr:to>
      <xdr:col>19</xdr:col>
      <xdr:colOff>114975</xdr:colOff>
      <xdr:row>11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CF6E1-4A2B-68EC-45F4-97A6DC04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5" y="1524000"/>
          <a:ext cx="4839375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F0D9-F0B8-4937-810E-7D3DCAF6E8D7}">
  <dimension ref="A2:O36"/>
  <sheetViews>
    <sheetView tabSelected="1" topLeftCell="E1" workbookViewId="0">
      <selection activeCell="O14" sqref="O14"/>
    </sheetView>
  </sheetViews>
  <sheetFormatPr defaultRowHeight="15" x14ac:dyDescent="0.25"/>
  <cols>
    <col min="1" max="1" width="15.85546875" bestFit="1" customWidth="1"/>
    <col min="2" max="2" width="15.85546875" customWidth="1"/>
    <col min="4" max="4" width="8.7109375" bestFit="1" customWidth="1"/>
    <col min="5" max="5" width="9" bestFit="1" customWidth="1"/>
    <col min="6" max="6" width="9" customWidth="1"/>
    <col min="7" max="7" width="12.85546875" bestFit="1" customWidth="1"/>
    <col min="8" max="8" width="9.28515625" bestFit="1" customWidth="1"/>
    <col min="9" max="9" width="6.7109375" bestFit="1" customWidth="1"/>
    <col min="10" max="10" width="5" bestFit="1" customWidth="1"/>
    <col min="11" max="11" width="9.7109375" bestFit="1" customWidth="1"/>
    <col min="12" max="12" width="13.140625" bestFit="1" customWidth="1"/>
    <col min="13" max="13" width="10.7109375" bestFit="1" customWidth="1"/>
    <col min="14" max="14" width="18" bestFit="1" customWidth="1"/>
    <col min="15" max="15" width="34.28515625" bestFit="1" customWidth="1"/>
  </cols>
  <sheetData>
    <row r="2" spans="1:15" x14ac:dyDescent="0.25">
      <c r="A2" t="s">
        <v>0</v>
      </c>
      <c r="K2" t="s">
        <v>73</v>
      </c>
      <c r="M2" s="1">
        <v>0.18110000000000001</v>
      </c>
      <c r="O2" t="s">
        <v>1</v>
      </c>
    </row>
    <row r="4" spans="1:15" x14ac:dyDescent="0.25">
      <c r="A4" s="3" t="s">
        <v>2</v>
      </c>
      <c r="B4" s="4" t="s">
        <v>74</v>
      </c>
      <c r="C4" s="3" t="s">
        <v>3</v>
      </c>
      <c r="D4" s="3" t="s">
        <v>4</v>
      </c>
      <c r="E4" s="3" t="s">
        <v>5</v>
      </c>
      <c r="F4" s="3" t="s">
        <v>6</v>
      </c>
      <c r="G4" s="4" t="s">
        <v>75</v>
      </c>
      <c r="H4" s="3" t="s">
        <v>7</v>
      </c>
      <c r="I4" s="3" t="s">
        <v>8</v>
      </c>
      <c r="J4" s="3" t="s">
        <v>9</v>
      </c>
      <c r="K4" s="3" t="s">
        <v>10</v>
      </c>
      <c r="L4" s="4" t="s">
        <v>76</v>
      </c>
      <c r="M4" t="s">
        <v>11</v>
      </c>
      <c r="N4" t="s">
        <v>12</v>
      </c>
    </row>
    <row r="5" spans="1:15" x14ac:dyDescent="0.25">
      <c r="A5" s="5">
        <v>46054</v>
      </c>
      <c r="B5" s="6"/>
      <c r="C5" s="3">
        <v>172.5</v>
      </c>
      <c r="D5" s="3">
        <v>0</v>
      </c>
      <c r="E5" s="7">
        <v>30000</v>
      </c>
      <c r="F5" s="7"/>
      <c r="G5" s="4"/>
      <c r="H5" s="3"/>
      <c r="I5" s="3">
        <v>150</v>
      </c>
      <c r="J5" s="3">
        <v>22.5</v>
      </c>
      <c r="K5" s="7">
        <v>30000</v>
      </c>
      <c r="L5" s="8">
        <v>30000</v>
      </c>
      <c r="M5" t="s">
        <v>13</v>
      </c>
      <c r="N5" t="s">
        <v>14</v>
      </c>
    </row>
    <row r="6" spans="1:15" x14ac:dyDescent="0.25">
      <c r="A6" s="5">
        <v>46081</v>
      </c>
      <c r="B6" s="9">
        <f>A6-A5</f>
        <v>27</v>
      </c>
      <c r="C6" s="7">
        <v>1247.95</v>
      </c>
      <c r="D6" s="3">
        <v>0</v>
      </c>
      <c r="E6" s="3">
        <v>846.01</v>
      </c>
      <c r="F6" s="3"/>
      <c r="G6" s="10">
        <f>L5*$M$2/365*B6</f>
        <v>401.89315068493147</v>
      </c>
      <c r="H6" s="3">
        <v>401.94</v>
      </c>
      <c r="I6" s="3">
        <v>0</v>
      </c>
      <c r="J6" s="3"/>
      <c r="K6" s="3"/>
      <c r="L6" s="8">
        <v>29153.99</v>
      </c>
      <c r="M6" t="s">
        <v>15</v>
      </c>
      <c r="N6" t="s">
        <v>16</v>
      </c>
    </row>
    <row r="7" spans="1:15" x14ac:dyDescent="0.25">
      <c r="A7" s="5">
        <v>46109</v>
      </c>
      <c r="B7" s="9">
        <f t="shared" ref="B7:B35" si="0">A7-A6</f>
        <v>28</v>
      </c>
      <c r="C7" s="7">
        <v>1247.95</v>
      </c>
      <c r="D7" s="3">
        <v>0</v>
      </c>
      <c r="E7" s="3">
        <v>842.88</v>
      </c>
      <c r="F7" s="3"/>
      <c r="G7" s="10">
        <f t="shared" ref="G7:G35" si="1">L6*$M$2/365*B7</f>
        <v>405.02480134794524</v>
      </c>
      <c r="H7" s="3">
        <v>405.07</v>
      </c>
      <c r="I7" s="3">
        <v>0</v>
      </c>
      <c r="J7" s="3"/>
      <c r="K7" s="3"/>
      <c r="L7" s="8">
        <v>28311.11</v>
      </c>
      <c r="M7" t="s">
        <v>17</v>
      </c>
      <c r="N7" t="s">
        <v>18</v>
      </c>
    </row>
    <row r="8" spans="1:15" x14ac:dyDescent="0.25">
      <c r="A8" s="5">
        <v>46140</v>
      </c>
      <c r="B8" s="9">
        <f t="shared" si="0"/>
        <v>31</v>
      </c>
      <c r="C8" s="7">
        <v>1247.95</v>
      </c>
      <c r="D8" s="3">
        <v>0</v>
      </c>
      <c r="E8" s="3">
        <v>812.44</v>
      </c>
      <c r="F8" s="3"/>
      <c r="G8" s="10">
        <f t="shared" si="1"/>
        <v>435.45589767397263</v>
      </c>
      <c r="H8" s="3">
        <v>435.51</v>
      </c>
      <c r="I8" s="3">
        <v>0</v>
      </c>
      <c r="J8" s="3"/>
      <c r="K8" s="3"/>
      <c r="L8" s="8">
        <v>27498.67</v>
      </c>
      <c r="M8" t="s">
        <v>19</v>
      </c>
      <c r="N8" t="s">
        <v>20</v>
      </c>
    </row>
    <row r="9" spans="1:15" x14ac:dyDescent="0.25">
      <c r="A9" s="5">
        <v>46170</v>
      </c>
      <c r="B9" s="9">
        <f t="shared" si="0"/>
        <v>30</v>
      </c>
      <c r="C9" s="7">
        <v>1247.95</v>
      </c>
      <c r="D9" s="3">
        <v>0</v>
      </c>
      <c r="E9" s="3">
        <v>838.59</v>
      </c>
      <c r="F9" s="3"/>
      <c r="G9" s="10">
        <f t="shared" si="1"/>
        <v>409.3158194794521</v>
      </c>
      <c r="H9" s="3">
        <v>409.36</v>
      </c>
      <c r="I9" s="3">
        <v>0</v>
      </c>
      <c r="J9" s="3"/>
      <c r="K9" s="3"/>
      <c r="L9" s="8">
        <v>26660.080000000002</v>
      </c>
      <c r="M9" t="s">
        <v>21</v>
      </c>
      <c r="N9" t="s">
        <v>22</v>
      </c>
    </row>
    <row r="10" spans="1:15" x14ac:dyDescent="0.25">
      <c r="A10" s="5">
        <v>46201</v>
      </c>
      <c r="B10" s="9">
        <f t="shared" si="0"/>
        <v>31</v>
      </c>
      <c r="C10" s="7">
        <v>1247.95</v>
      </c>
      <c r="D10" s="3">
        <v>0</v>
      </c>
      <c r="E10" s="3">
        <v>837.84</v>
      </c>
      <c r="F10" s="3"/>
      <c r="G10" s="10">
        <f t="shared" si="1"/>
        <v>410.06124692602748</v>
      </c>
      <c r="H10" s="3">
        <v>410.11</v>
      </c>
      <c r="I10" s="3">
        <v>0</v>
      </c>
      <c r="J10" s="3"/>
      <c r="K10" s="3"/>
      <c r="L10" s="8">
        <v>25822.240000000002</v>
      </c>
      <c r="M10" t="s">
        <v>23</v>
      </c>
      <c r="N10" t="s">
        <v>24</v>
      </c>
    </row>
    <row r="11" spans="1:15" x14ac:dyDescent="0.25">
      <c r="A11" s="5">
        <v>46231</v>
      </c>
      <c r="B11" s="9">
        <f t="shared" si="0"/>
        <v>30</v>
      </c>
      <c r="C11" s="7">
        <v>1247.95</v>
      </c>
      <c r="D11" s="3">
        <v>0</v>
      </c>
      <c r="E11" s="3">
        <v>863.54</v>
      </c>
      <c r="F11" s="3"/>
      <c r="G11" s="10">
        <f t="shared" si="1"/>
        <v>384.36227375342469</v>
      </c>
      <c r="H11" s="3">
        <v>384.41</v>
      </c>
      <c r="I11" s="3">
        <v>0</v>
      </c>
      <c r="J11" s="3"/>
      <c r="K11" s="3"/>
      <c r="L11" s="8">
        <v>24958.7</v>
      </c>
      <c r="M11" t="s">
        <v>25</v>
      </c>
      <c r="N11" t="s">
        <v>26</v>
      </c>
    </row>
    <row r="12" spans="1:15" x14ac:dyDescent="0.25">
      <c r="A12" s="5">
        <v>46262</v>
      </c>
      <c r="B12" s="9">
        <f t="shared" si="0"/>
        <v>31</v>
      </c>
      <c r="C12" s="7">
        <v>1247.95</v>
      </c>
      <c r="D12" s="3">
        <v>0</v>
      </c>
      <c r="E12" s="3">
        <v>864.01</v>
      </c>
      <c r="F12" s="3"/>
      <c r="G12" s="10">
        <f t="shared" si="1"/>
        <v>383.89215800000005</v>
      </c>
      <c r="H12" s="3">
        <v>383.94</v>
      </c>
      <c r="I12" s="3">
        <v>0</v>
      </c>
      <c r="J12" s="3"/>
      <c r="K12" s="3"/>
      <c r="L12" s="8">
        <v>24094.69</v>
      </c>
      <c r="M12" t="s">
        <v>27</v>
      </c>
      <c r="N12" t="s">
        <v>28</v>
      </c>
    </row>
    <row r="13" spans="1:15" x14ac:dyDescent="0.25">
      <c r="A13" s="5">
        <v>46293</v>
      </c>
      <c r="B13" s="9">
        <f t="shared" si="0"/>
        <v>31</v>
      </c>
      <c r="C13" s="7">
        <v>1247.95</v>
      </c>
      <c r="D13" s="3">
        <v>0</v>
      </c>
      <c r="E13" s="3">
        <v>877.3</v>
      </c>
      <c r="F13" s="3"/>
      <c r="G13" s="10">
        <f t="shared" si="1"/>
        <v>370.60273733972605</v>
      </c>
      <c r="H13" s="3">
        <v>370.65</v>
      </c>
      <c r="I13" s="3">
        <v>0</v>
      </c>
      <c r="J13" s="3"/>
      <c r="K13" s="3"/>
      <c r="L13" s="8">
        <v>23217.39</v>
      </c>
      <c r="M13" t="s">
        <v>29</v>
      </c>
      <c r="N13" t="s">
        <v>30</v>
      </c>
    </row>
    <row r="14" spans="1:15" x14ac:dyDescent="0.25">
      <c r="A14" s="5">
        <v>46323</v>
      </c>
      <c r="B14" s="9">
        <f t="shared" si="0"/>
        <v>30</v>
      </c>
      <c r="C14" s="7">
        <v>1247.95</v>
      </c>
      <c r="D14" s="3">
        <v>0</v>
      </c>
      <c r="E14" s="3">
        <v>902.32</v>
      </c>
      <c r="F14" s="3"/>
      <c r="G14" s="10">
        <f t="shared" si="1"/>
        <v>345.58925991780825</v>
      </c>
      <c r="H14" s="3">
        <v>345.63</v>
      </c>
      <c r="I14" s="3">
        <v>0</v>
      </c>
      <c r="J14" s="3"/>
      <c r="K14" s="3"/>
      <c r="L14" s="8">
        <v>22315.07</v>
      </c>
      <c r="M14" t="s">
        <v>31</v>
      </c>
      <c r="N14" t="s">
        <v>32</v>
      </c>
    </row>
    <row r="15" spans="1:15" x14ac:dyDescent="0.25">
      <c r="A15" s="5">
        <v>46354</v>
      </c>
      <c r="B15" s="9">
        <f t="shared" si="0"/>
        <v>31</v>
      </c>
      <c r="C15" s="7">
        <v>1247.95</v>
      </c>
      <c r="D15" s="3">
        <v>0</v>
      </c>
      <c r="E15" s="3">
        <v>904.68</v>
      </c>
      <c r="F15" s="3"/>
      <c r="G15" s="10">
        <f t="shared" si="1"/>
        <v>343.23023147123286</v>
      </c>
      <c r="H15" s="3">
        <v>343.27</v>
      </c>
      <c r="I15" s="3">
        <v>0</v>
      </c>
      <c r="J15" s="3"/>
      <c r="K15" s="3"/>
      <c r="L15" s="8">
        <v>21410.39</v>
      </c>
      <c r="M15" t="s">
        <v>33</v>
      </c>
      <c r="N15" t="s">
        <v>34</v>
      </c>
    </row>
    <row r="16" spans="1:15" x14ac:dyDescent="0.25">
      <c r="A16" s="5">
        <v>46384</v>
      </c>
      <c r="B16" s="9">
        <f t="shared" si="0"/>
        <v>30</v>
      </c>
      <c r="C16" s="7">
        <v>1247.95</v>
      </c>
      <c r="D16" s="3">
        <v>0</v>
      </c>
      <c r="E16" s="3">
        <v>929.22</v>
      </c>
      <c r="F16" s="3"/>
      <c r="G16" s="10">
        <f t="shared" si="1"/>
        <v>318.69218868493152</v>
      </c>
      <c r="H16" s="3">
        <v>318.73</v>
      </c>
      <c r="I16" s="3">
        <v>0</v>
      </c>
      <c r="J16" s="3"/>
      <c r="K16" s="3"/>
      <c r="L16" s="8">
        <v>20481.169999999998</v>
      </c>
      <c r="M16" t="s">
        <v>35</v>
      </c>
      <c r="N16" t="s">
        <v>36</v>
      </c>
    </row>
    <row r="17" spans="1:14" x14ac:dyDescent="0.25">
      <c r="A17" s="5">
        <v>46415</v>
      </c>
      <c r="B17" s="9">
        <f t="shared" si="0"/>
        <v>31</v>
      </c>
      <c r="C17" s="7">
        <v>1247.95</v>
      </c>
      <c r="D17" s="3">
        <v>0</v>
      </c>
      <c r="E17" s="3">
        <v>932.89</v>
      </c>
      <c r="F17" s="3"/>
      <c r="G17" s="10">
        <f t="shared" si="1"/>
        <v>315.02283971780821</v>
      </c>
      <c r="H17" s="3">
        <v>315.06</v>
      </c>
      <c r="I17" s="3">
        <v>0</v>
      </c>
      <c r="J17" s="3"/>
      <c r="K17" s="3"/>
      <c r="L17" s="8">
        <v>19548.28</v>
      </c>
      <c r="M17" t="s">
        <v>37</v>
      </c>
      <c r="N17" t="s">
        <v>38</v>
      </c>
    </row>
    <row r="18" spans="1:14" x14ac:dyDescent="0.25">
      <c r="A18" s="5">
        <v>46446</v>
      </c>
      <c r="B18" s="9">
        <f t="shared" si="0"/>
        <v>31</v>
      </c>
      <c r="C18" s="7">
        <v>1247.95</v>
      </c>
      <c r="D18" s="3">
        <v>0</v>
      </c>
      <c r="E18" s="3">
        <v>947.24</v>
      </c>
      <c r="F18" s="3"/>
      <c r="G18" s="10">
        <f t="shared" si="1"/>
        <v>300.67396917260271</v>
      </c>
      <c r="H18" s="3">
        <v>300.70999999999998</v>
      </c>
      <c r="I18" s="3">
        <v>0</v>
      </c>
      <c r="J18" s="3"/>
      <c r="K18" s="3"/>
      <c r="L18" s="8">
        <v>18601.04</v>
      </c>
      <c r="M18" t="s">
        <v>39</v>
      </c>
      <c r="N18" t="s">
        <v>40</v>
      </c>
    </row>
    <row r="19" spans="1:14" x14ac:dyDescent="0.25">
      <c r="A19" s="5">
        <v>46474</v>
      </c>
      <c r="B19" s="9">
        <f t="shared" si="0"/>
        <v>28</v>
      </c>
      <c r="C19" s="7">
        <v>1247.95</v>
      </c>
      <c r="D19" s="3">
        <v>0</v>
      </c>
      <c r="E19" s="3">
        <v>989.5</v>
      </c>
      <c r="F19" s="3"/>
      <c r="G19" s="10">
        <f t="shared" si="1"/>
        <v>258.41685926575343</v>
      </c>
      <c r="H19" s="3">
        <v>258.45</v>
      </c>
      <c r="I19" s="3">
        <v>0</v>
      </c>
      <c r="J19" s="3"/>
      <c r="K19" s="3"/>
      <c r="L19" s="8">
        <v>17611.54</v>
      </c>
      <c r="M19" t="s">
        <v>41</v>
      </c>
      <c r="N19" t="s">
        <v>42</v>
      </c>
    </row>
    <row r="20" spans="1:14" x14ac:dyDescent="0.25">
      <c r="A20" s="5">
        <v>46505</v>
      </c>
      <c r="B20" s="9">
        <f t="shared" si="0"/>
        <v>31</v>
      </c>
      <c r="C20" s="7">
        <v>1247.95</v>
      </c>
      <c r="D20" s="3">
        <v>0</v>
      </c>
      <c r="E20" s="3">
        <v>977.03</v>
      </c>
      <c r="F20" s="3"/>
      <c r="G20" s="10">
        <f t="shared" si="1"/>
        <v>270.88478551780827</v>
      </c>
      <c r="H20" s="3">
        <v>270.92</v>
      </c>
      <c r="I20" s="3">
        <v>0</v>
      </c>
      <c r="J20" s="3"/>
      <c r="K20" s="3"/>
      <c r="L20" s="8">
        <v>16634.509999999998</v>
      </c>
      <c r="M20" t="s">
        <v>43</v>
      </c>
      <c r="N20" t="s">
        <v>44</v>
      </c>
    </row>
    <row r="21" spans="1:14" x14ac:dyDescent="0.25">
      <c r="A21" s="5">
        <v>46535</v>
      </c>
      <c r="B21" s="9">
        <f t="shared" si="0"/>
        <v>30</v>
      </c>
      <c r="C21" s="7">
        <v>1247.95</v>
      </c>
      <c r="D21" s="3">
        <v>0</v>
      </c>
      <c r="E21" s="7">
        <v>1000.32</v>
      </c>
      <c r="F21" s="7"/>
      <c r="G21" s="10">
        <f t="shared" si="1"/>
        <v>247.60354199999998</v>
      </c>
      <c r="H21" s="3">
        <v>247.63</v>
      </c>
      <c r="I21" s="3">
        <v>0</v>
      </c>
      <c r="J21" s="3"/>
      <c r="K21" s="3"/>
      <c r="L21" s="8">
        <v>15634.19</v>
      </c>
      <c r="M21" t="s">
        <v>45</v>
      </c>
      <c r="N21" t="s">
        <v>46</v>
      </c>
    </row>
    <row r="22" spans="1:14" x14ac:dyDescent="0.25">
      <c r="A22" s="5">
        <v>46566</v>
      </c>
      <c r="B22" s="9">
        <f t="shared" si="0"/>
        <v>31</v>
      </c>
      <c r="C22" s="7">
        <v>1247.95</v>
      </c>
      <c r="D22" s="3">
        <v>0</v>
      </c>
      <c r="E22" s="7">
        <v>1007.45</v>
      </c>
      <c r="F22" s="7"/>
      <c r="G22" s="10">
        <f t="shared" si="1"/>
        <v>240.47097555890414</v>
      </c>
      <c r="H22" s="3">
        <v>240.5</v>
      </c>
      <c r="I22" s="3">
        <v>0</v>
      </c>
      <c r="J22" s="3"/>
      <c r="K22" s="3"/>
      <c r="L22" s="8">
        <v>14626.74</v>
      </c>
      <c r="M22" t="s">
        <v>47</v>
      </c>
      <c r="N22" t="s">
        <v>48</v>
      </c>
    </row>
    <row r="23" spans="1:14" x14ac:dyDescent="0.25">
      <c r="A23" s="5">
        <v>46596</v>
      </c>
      <c r="B23" s="9">
        <f t="shared" si="0"/>
        <v>30</v>
      </c>
      <c r="C23" s="7">
        <v>1247.95</v>
      </c>
      <c r="D23" s="3">
        <v>0</v>
      </c>
      <c r="E23" s="7">
        <v>1030.21</v>
      </c>
      <c r="F23" s="7"/>
      <c r="G23" s="10">
        <f t="shared" si="1"/>
        <v>217.71802306849315</v>
      </c>
      <c r="H23" s="3">
        <v>217.74</v>
      </c>
      <c r="I23" s="3">
        <v>0</v>
      </c>
      <c r="J23" s="3"/>
      <c r="K23" s="3"/>
      <c r="L23" s="8">
        <v>13596.53</v>
      </c>
      <c r="M23" t="s">
        <v>49</v>
      </c>
      <c r="N23" t="s">
        <v>50</v>
      </c>
    </row>
    <row r="24" spans="1:14" x14ac:dyDescent="0.25">
      <c r="A24" s="5">
        <v>46627</v>
      </c>
      <c r="B24" s="9">
        <f t="shared" si="0"/>
        <v>31</v>
      </c>
      <c r="C24" s="7">
        <v>1247.95</v>
      </c>
      <c r="D24" s="3">
        <v>0</v>
      </c>
      <c r="E24" s="7">
        <v>1038.8</v>
      </c>
      <c r="F24" s="7"/>
      <c r="G24" s="10">
        <f t="shared" si="1"/>
        <v>209.12953170684932</v>
      </c>
      <c r="H24" s="3">
        <v>209.15</v>
      </c>
      <c r="I24" s="3">
        <v>0</v>
      </c>
      <c r="J24" s="3"/>
      <c r="K24" s="3"/>
      <c r="L24" s="8">
        <v>12557.73</v>
      </c>
      <c r="M24" t="s">
        <v>51</v>
      </c>
      <c r="N24" t="s">
        <v>52</v>
      </c>
    </row>
    <row r="25" spans="1:14" x14ac:dyDescent="0.25">
      <c r="A25" s="5">
        <v>46658</v>
      </c>
      <c r="B25" s="9">
        <f t="shared" si="0"/>
        <v>31</v>
      </c>
      <c r="C25" s="7">
        <v>1247.95</v>
      </c>
      <c r="D25" s="3">
        <v>0</v>
      </c>
      <c r="E25" s="7">
        <v>1054.78</v>
      </c>
      <c r="F25" s="7"/>
      <c r="G25" s="10">
        <f t="shared" si="1"/>
        <v>193.15164929589045</v>
      </c>
      <c r="H25" s="3">
        <v>193.17</v>
      </c>
      <c r="I25" s="3">
        <v>0</v>
      </c>
      <c r="J25" s="3"/>
      <c r="K25" s="3"/>
      <c r="L25" s="8">
        <v>11502.95</v>
      </c>
      <c r="M25" t="s">
        <v>53</v>
      </c>
      <c r="N25" t="s">
        <v>54</v>
      </c>
    </row>
    <row r="26" spans="1:14" x14ac:dyDescent="0.25">
      <c r="A26" s="5">
        <v>46688</v>
      </c>
      <c r="B26" s="9">
        <f t="shared" si="0"/>
        <v>30</v>
      </c>
      <c r="C26" s="7">
        <v>1247.95</v>
      </c>
      <c r="D26" s="3">
        <v>0</v>
      </c>
      <c r="E26" s="7">
        <v>1076.71</v>
      </c>
      <c r="F26" s="7"/>
      <c r="G26" s="10">
        <f t="shared" si="1"/>
        <v>171.22062287671235</v>
      </c>
      <c r="H26" s="3">
        <v>171.24</v>
      </c>
      <c r="I26" s="3">
        <v>0</v>
      </c>
      <c r="J26" s="3"/>
      <c r="K26" s="3"/>
      <c r="L26" s="8">
        <v>10426.24</v>
      </c>
      <c r="M26" t="s">
        <v>55</v>
      </c>
      <c r="N26" t="s">
        <v>56</v>
      </c>
    </row>
    <row r="27" spans="1:14" x14ac:dyDescent="0.25">
      <c r="A27" s="5">
        <v>46719</v>
      </c>
      <c r="B27" s="9">
        <f t="shared" si="0"/>
        <v>31</v>
      </c>
      <c r="C27" s="7">
        <v>1247.95</v>
      </c>
      <c r="D27" s="3">
        <v>0</v>
      </c>
      <c r="E27" s="7">
        <v>1087.56</v>
      </c>
      <c r="F27" s="7"/>
      <c r="G27" s="10">
        <f t="shared" si="1"/>
        <v>160.36699721643836</v>
      </c>
      <c r="H27" s="3">
        <v>160.38999999999999</v>
      </c>
      <c r="I27" s="3">
        <v>0</v>
      </c>
      <c r="J27" s="3"/>
      <c r="K27" s="3"/>
      <c r="L27" s="8">
        <v>9338.68</v>
      </c>
      <c r="M27" t="s">
        <v>57</v>
      </c>
      <c r="N27" t="s">
        <v>58</v>
      </c>
    </row>
    <row r="28" spans="1:14" x14ac:dyDescent="0.25">
      <c r="A28" s="5">
        <v>46749</v>
      </c>
      <c r="B28" s="9">
        <f t="shared" si="0"/>
        <v>30</v>
      </c>
      <c r="C28" s="7">
        <v>1247.95</v>
      </c>
      <c r="D28" s="3">
        <v>0</v>
      </c>
      <c r="E28" s="7">
        <v>1108.93</v>
      </c>
      <c r="F28" s="7"/>
      <c r="G28" s="10">
        <f t="shared" si="1"/>
        <v>139.00561216438356</v>
      </c>
      <c r="H28" s="3">
        <v>139.02000000000001</v>
      </c>
      <c r="I28" s="3">
        <v>0</v>
      </c>
      <c r="J28" s="3"/>
      <c r="K28" s="3"/>
      <c r="L28" s="8">
        <v>8229.75</v>
      </c>
      <c r="M28" t="s">
        <v>59</v>
      </c>
      <c r="N28" t="s">
        <v>60</v>
      </c>
    </row>
    <row r="29" spans="1:14" x14ac:dyDescent="0.25">
      <c r="A29" s="5">
        <v>46780</v>
      </c>
      <c r="B29" s="9">
        <f t="shared" si="0"/>
        <v>31</v>
      </c>
      <c r="C29" s="7">
        <v>1247.95</v>
      </c>
      <c r="D29" s="3">
        <v>0</v>
      </c>
      <c r="E29" s="7">
        <v>1121.3499999999999</v>
      </c>
      <c r="F29" s="7"/>
      <c r="G29" s="10">
        <f t="shared" si="1"/>
        <v>126.58257390410961</v>
      </c>
      <c r="H29" s="3">
        <v>126.6</v>
      </c>
      <c r="I29" s="3">
        <v>0</v>
      </c>
      <c r="J29" s="3"/>
      <c r="K29" s="3"/>
      <c r="L29" s="8">
        <v>7108.4</v>
      </c>
      <c r="M29" t="s">
        <v>61</v>
      </c>
      <c r="N29" t="s">
        <v>62</v>
      </c>
    </row>
    <row r="30" spans="1:14" x14ac:dyDescent="0.25">
      <c r="A30" s="5">
        <v>46811</v>
      </c>
      <c r="B30" s="9">
        <f t="shared" si="0"/>
        <v>31</v>
      </c>
      <c r="C30" s="7">
        <v>1247.95</v>
      </c>
      <c r="D30" s="3">
        <v>0</v>
      </c>
      <c r="E30" s="7">
        <v>1138.5999999999999</v>
      </c>
      <c r="F30" s="7"/>
      <c r="G30" s="10">
        <f t="shared" si="1"/>
        <v>109.33498202739725</v>
      </c>
      <c r="H30" s="3">
        <v>109.35</v>
      </c>
      <c r="I30" s="3">
        <v>0</v>
      </c>
      <c r="J30" s="3"/>
      <c r="K30" s="3"/>
      <c r="L30" s="8">
        <v>5969.8</v>
      </c>
      <c r="M30" t="s">
        <v>63</v>
      </c>
      <c r="N30" t="s">
        <v>64</v>
      </c>
    </row>
    <row r="31" spans="1:14" x14ac:dyDescent="0.25">
      <c r="A31" s="5">
        <v>46840</v>
      </c>
      <c r="B31" s="9">
        <f t="shared" si="0"/>
        <v>29</v>
      </c>
      <c r="C31" s="7">
        <v>1247.95</v>
      </c>
      <c r="D31" s="3">
        <v>0</v>
      </c>
      <c r="E31" s="7">
        <v>1162.04</v>
      </c>
      <c r="F31" s="7"/>
      <c r="G31" s="10">
        <f t="shared" si="1"/>
        <v>85.898061972602761</v>
      </c>
      <c r="H31" s="3">
        <v>85.91</v>
      </c>
      <c r="I31" s="3">
        <v>0</v>
      </c>
      <c r="J31" s="3"/>
      <c r="K31" s="3"/>
      <c r="L31" s="8">
        <v>4807.76</v>
      </c>
      <c r="M31" t="s">
        <v>65</v>
      </c>
      <c r="N31" t="s">
        <v>66</v>
      </c>
    </row>
    <row r="32" spans="1:14" x14ac:dyDescent="0.25">
      <c r="A32" s="5">
        <v>46871</v>
      </c>
      <c r="B32" s="9">
        <f t="shared" si="0"/>
        <v>31</v>
      </c>
      <c r="C32" s="7">
        <v>1247.95</v>
      </c>
      <c r="D32" s="3">
        <v>0</v>
      </c>
      <c r="E32" s="7">
        <v>1173.99</v>
      </c>
      <c r="F32" s="7"/>
      <c r="G32" s="10">
        <f t="shared" si="1"/>
        <v>73.948617578082192</v>
      </c>
      <c r="H32" s="3">
        <v>73.959999999999994</v>
      </c>
      <c r="I32" s="3">
        <v>0</v>
      </c>
      <c r="J32" s="3"/>
      <c r="K32" s="3"/>
      <c r="L32" s="8">
        <v>3633.77</v>
      </c>
      <c r="M32" t="s">
        <v>67</v>
      </c>
      <c r="N32" t="s">
        <v>68</v>
      </c>
    </row>
    <row r="33" spans="1:14" x14ac:dyDescent="0.25">
      <c r="A33" s="5">
        <v>46901</v>
      </c>
      <c r="B33" s="9">
        <f t="shared" si="0"/>
        <v>30</v>
      </c>
      <c r="C33" s="7">
        <v>1247.95</v>
      </c>
      <c r="D33" s="3">
        <v>0</v>
      </c>
      <c r="E33" s="7">
        <v>1193.8599999999999</v>
      </c>
      <c r="F33" s="7"/>
      <c r="G33" s="10">
        <f t="shared" si="1"/>
        <v>54.088417561643837</v>
      </c>
      <c r="H33" s="3">
        <v>54.09</v>
      </c>
      <c r="I33" s="3">
        <v>0</v>
      </c>
      <c r="J33" s="3"/>
      <c r="K33" s="3"/>
      <c r="L33" s="8">
        <v>2439.91</v>
      </c>
      <c r="M33" t="s">
        <v>69</v>
      </c>
      <c r="N33" t="s">
        <v>70</v>
      </c>
    </row>
    <row r="34" spans="1:14" x14ac:dyDescent="0.25">
      <c r="A34" s="5">
        <v>46932</v>
      </c>
      <c r="B34" s="9">
        <f t="shared" si="0"/>
        <v>31</v>
      </c>
      <c r="C34" s="7">
        <v>1247.95</v>
      </c>
      <c r="D34" s="3">
        <v>0</v>
      </c>
      <c r="E34" s="7">
        <v>1210.42</v>
      </c>
      <c r="F34" s="7"/>
      <c r="G34" s="10">
        <f t="shared" si="1"/>
        <v>37.528489673972608</v>
      </c>
      <c r="H34" s="3">
        <v>37.53</v>
      </c>
      <c r="I34" s="3">
        <v>0</v>
      </c>
      <c r="J34" s="3"/>
      <c r="K34" s="3"/>
      <c r="L34" s="8">
        <v>1229.49</v>
      </c>
      <c r="M34" t="s">
        <v>71</v>
      </c>
      <c r="N34" t="s">
        <v>72</v>
      </c>
    </row>
    <row r="35" spans="1:14" x14ac:dyDescent="0.25">
      <c r="A35" s="5">
        <v>46962</v>
      </c>
      <c r="B35" s="9">
        <f t="shared" si="0"/>
        <v>30</v>
      </c>
      <c r="C35" s="7">
        <v>1247.81</v>
      </c>
      <c r="D35" s="3">
        <v>0</v>
      </c>
      <c r="E35" s="7">
        <v>1229.49</v>
      </c>
      <c r="F35" s="7"/>
      <c r="G35" s="10">
        <f t="shared" si="1"/>
        <v>18.300874438356164</v>
      </c>
      <c r="H35" s="3">
        <v>18.32</v>
      </c>
      <c r="I35" s="3">
        <v>0</v>
      </c>
      <c r="J35" s="3"/>
      <c r="K35" s="3"/>
      <c r="L35" s="4">
        <v>0</v>
      </c>
      <c r="M35">
        <v>0</v>
      </c>
      <c r="N35">
        <v>0</v>
      </c>
    </row>
    <row r="36" spans="1:14" x14ac:dyDescent="0.25">
      <c r="G36" s="2">
        <f>SUM(G6:G35)</f>
        <v>7437.4671899972591</v>
      </c>
      <c r="H36">
        <f>SUM(H6:H35)</f>
        <v>7438.3600000000015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Payment-Schedule_20052615382059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Asad</dc:creator>
  <cp:lastModifiedBy>Venkateshwaran T</cp:lastModifiedBy>
  <dcterms:created xsi:type="dcterms:W3CDTF">2026-05-20T10:44:09Z</dcterms:created>
  <dcterms:modified xsi:type="dcterms:W3CDTF">2026-06-24T12:35:52Z</dcterms:modified>
</cp:coreProperties>
</file>